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ARM_6_10\Desktop\Строевая записка ежедневно\Май\"/>
    </mc:Choice>
  </mc:AlternateContent>
  <bookViews>
    <workbookView xWindow="0" yWindow="0" windowWidth="10065" windowHeight="6045" tabRatio="282" firstSheet="1" activeTab="1"/>
  </bookViews>
  <sheets>
    <sheet name="Диаграмма1" sheetId="3" r:id="rId1"/>
    <sheet name="Лист1" sheetId="1" r:id="rId2"/>
    <sheet name="Лист2" sheetId="2" r:id="rId3"/>
  </sheets>
  <calcPr calcId="162913"/>
</workbook>
</file>

<file path=xl/calcChain.xml><?xml version="1.0" encoding="utf-8"?>
<calcChain xmlns="http://schemas.openxmlformats.org/spreadsheetml/2006/main">
  <c r="K9" i="1" l="1"/>
  <c r="M9" i="1" l="1"/>
  <c r="J9" i="1" l="1"/>
  <c r="E9" i="1"/>
  <c r="A10" i="2" l="1"/>
  <c r="A18" i="2" l="1"/>
  <c r="E17" i="2" l="1"/>
  <c r="C17" i="2"/>
</calcChain>
</file>

<file path=xl/sharedStrings.xml><?xml version="1.0" encoding="utf-8"?>
<sst xmlns="http://schemas.openxmlformats.org/spreadsheetml/2006/main" count="80" uniqueCount="59">
  <si>
    <t>Подразделение</t>
  </si>
  <si>
    <t>по штату</t>
  </si>
  <si>
    <t>всего</t>
  </si>
  <si>
    <t xml:space="preserve">по </t>
  </si>
  <si>
    <t>списку</t>
  </si>
  <si>
    <t>на</t>
  </si>
  <si>
    <t xml:space="preserve"> лицо</t>
  </si>
  <si>
    <t>наряд</t>
  </si>
  <si>
    <t>ком-ка</t>
  </si>
  <si>
    <t>отпуск</t>
  </si>
  <si>
    <t>выезд</t>
  </si>
  <si>
    <t>освобождение по болезни</t>
  </si>
  <si>
    <t>в/с</t>
  </si>
  <si>
    <t xml:space="preserve"> из них:</t>
  </si>
  <si>
    <t>г/п</t>
  </si>
  <si>
    <t>сроч</t>
  </si>
  <si>
    <t>жен</t>
  </si>
  <si>
    <t>Управление</t>
  </si>
  <si>
    <t>Узел связи</t>
  </si>
  <si>
    <t>Ц(МТО)</t>
  </si>
  <si>
    <t>Оркестр</t>
  </si>
  <si>
    <t>65 ОАО</t>
  </si>
  <si>
    <t>1192 ЦО</t>
  </si>
  <si>
    <t>1169 Ц(АСР)</t>
  </si>
  <si>
    <t>1125 Ц(РХБЗ)</t>
  </si>
  <si>
    <t>1351 ЦО</t>
  </si>
  <si>
    <t>46 КЦ</t>
  </si>
  <si>
    <t>1234 МЦ</t>
  </si>
  <si>
    <t>выходной</t>
  </si>
  <si>
    <t>госп/санчасть</t>
  </si>
  <si>
    <t>приком (сумма)</t>
  </si>
  <si>
    <t>приком (люди)</t>
  </si>
  <si>
    <t>Отком (сумма)</t>
  </si>
  <si>
    <t>Отком (люди)</t>
  </si>
  <si>
    <t>в расп (сумма)</t>
  </si>
  <si>
    <t>в расп (люди)</t>
  </si>
  <si>
    <t>Командировка</t>
  </si>
  <si>
    <t>Отметка о внесенных изменениях</t>
  </si>
  <si>
    <t xml:space="preserve">334 УТЦ </t>
  </si>
  <si>
    <t>1125 Центр (РХБЗ)</t>
  </si>
  <si>
    <t>40 РЦПС</t>
  </si>
  <si>
    <t>955БРХТ</t>
  </si>
  <si>
    <t xml:space="preserve"> </t>
  </si>
  <si>
    <t>с-т Кузьменкин Е.В., ст. с-т Шестаков Е.В. - ДНР, ЛНР
ряд. Силантьев, ряд. Гнрицюта</t>
  </si>
  <si>
    <t>Запорожье-1(м-р Дружинин)</t>
  </si>
  <si>
    <t>ст.л-т Литвиненко,ст.пр-к Скопинцев,с-т Хапсироков,ст.с-т Ахметов,ст.с-т Ивакин,ст.с-т Марчихин</t>
  </si>
  <si>
    <t>ст. с-т Вахрушев В.В. (г.Бердянск, Запорожской обл.)</t>
  </si>
  <si>
    <t>м-р Затерчук А.Н.</t>
  </si>
  <si>
    <t>м-р Соловьев А.Е. (г. Архангельск)</t>
  </si>
  <si>
    <r>
      <t xml:space="preserve"> </t>
    </r>
    <r>
      <rPr>
        <sz val="12"/>
        <color theme="1"/>
        <rFont val="Times New Roman"/>
        <family val="1"/>
        <charset val="204"/>
      </rPr>
      <t>(ЦА - 8- ст. пр-к Батыргареев П.Х., пр-к Цымбулов В.Е., ст. пр-к Прокопенко Г.В.,  пр-к Патенко С.И., пр-к Свешников А.А., пр-к Султанов В.Ф., ст. с-т Гамзаев М.Ф.,  с-т Ковальчук А.В.) (46 КЦ- 14  ряд. Латышев Е.Ю., ряд. Жиронкин М.А., ряд. Стрельников В.И., ряд. Татушин Н.И., ряд. Кузьмин И.Р., ряд. Гафуров Р.А., ряд. Добролюбов Е.Д., ряд. Мартьянов А.А., ряд. Назвров Т.У., ряд. Гурский Е.Д., ряд. Почивалин А.В., ряд. Михеев И.А., ряд. Шмелев В.А., ряд. Соловьев Р.П.)(Херсонская область 1 -ст. с-т Белоусов Е.Ю.)(Архангельск 2- ст. с-т Кротов Д.А., ст. с-т Хаников Р.Ш.)</t>
    </r>
  </si>
  <si>
    <t>(Белгород 1- Грищук В.И.)</t>
  </si>
  <si>
    <t>+</t>
  </si>
  <si>
    <t>л-т Рогачев П.А., л-т Попов Д.А., пр-к Лысов А.Е., пр-к Болтаев А.В. - г. Волгоград</t>
  </si>
  <si>
    <t xml:space="preserve">
</t>
  </si>
  <si>
    <t>УТЦ – 2 чел. ( ряд. Войтов, ряд. Стромаков)  
46 КЦ - 4 чел. (ряд. Карасев, ряд. Трафимович, ряд. Лыков, ряд. Поляков)                                                                  65 ОАО- 5 чел. (ряд. Пашков, ряд. Цветков, ряд. Лебедев, ряд. Семенов, ряд. Пастухов)</t>
  </si>
  <si>
    <t xml:space="preserve">10 - 334 УТЦ                   5 - 46 КЦ                  </t>
  </si>
  <si>
    <t xml:space="preserve">        Начальник штаба 1125 Центра (РХБЗ)</t>
  </si>
  <si>
    <t xml:space="preserve">               майор                                                    Л.Р. Хайбрахманов  </t>
  </si>
  <si>
    <t xml:space="preserve">Строевая записка 
Ногинского спасательного центра на 19 мая 2026 года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</si>
</sst>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charset val="204"/>
      <scheme val="minor"/>
    </font>
    <font>
      <b/>
      <sz val="11"/>
      <color theme="1"/>
      <name val="Calibri"/>
      <family val="2"/>
      <charset val="204"/>
      <scheme val="minor"/>
    </font>
    <font>
      <sz val="10"/>
      <color theme="1"/>
      <name val="Times New Roman"/>
      <family val="1"/>
      <charset val="204"/>
    </font>
    <font>
      <b/>
      <sz val="12"/>
      <color theme="1"/>
      <name val="Times New Roman"/>
      <family val="1"/>
      <charset val="204"/>
    </font>
    <font>
      <b/>
      <sz val="10"/>
      <color theme="1"/>
      <name val="Times New Roman"/>
      <family val="1"/>
      <charset val="204"/>
    </font>
    <font>
      <sz val="9"/>
      <color theme="1"/>
      <name val="Times New Roman"/>
      <family val="1"/>
      <charset val="204"/>
    </font>
    <font>
      <sz val="7"/>
      <color theme="1"/>
      <name val="Times New Roman"/>
      <family val="1"/>
      <charset val="204"/>
    </font>
    <font>
      <sz val="8"/>
      <color theme="1"/>
      <name val="Times New Roman"/>
      <family val="1"/>
      <charset val="204"/>
    </font>
    <font>
      <b/>
      <sz val="9"/>
      <color theme="1"/>
      <name val="Times New Roman"/>
      <family val="1"/>
      <charset val="204"/>
    </font>
    <font>
      <b/>
      <sz val="9.5"/>
      <color theme="1"/>
      <name val="Times New Roman"/>
      <family val="1"/>
      <charset val="204"/>
    </font>
    <font>
      <sz val="11"/>
      <color theme="1"/>
      <name val="Times New Roman"/>
      <family val="1"/>
      <charset val="204"/>
    </font>
    <font>
      <b/>
      <sz val="6"/>
      <color theme="1"/>
      <name val="Times New Roman"/>
      <family val="1"/>
      <charset val="204"/>
    </font>
    <font>
      <sz val="9.5"/>
      <color theme="1"/>
      <name val="Times New Roman"/>
      <family val="1"/>
      <charset val="204"/>
    </font>
    <font>
      <sz val="11"/>
      <color theme="1"/>
      <name val="Calibri"/>
      <family val="2"/>
      <charset val="204"/>
    </font>
    <font>
      <b/>
      <sz val="14"/>
      <color theme="1"/>
      <name val="Times New Roman"/>
      <family val="1"/>
      <charset val="204"/>
    </font>
    <font>
      <b/>
      <sz val="10"/>
      <color rgb="FF000000"/>
      <name val="Times New Roman"/>
      <family val="1"/>
      <charset val="204"/>
    </font>
    <font>
      <sz val="14"/>
      <name val="Calibri"/>
      <family val="2"/>
      <charset val="204"/>
      <scheme val="minor"/>
    </font>
    <font>
      <sz val="5"/>
      <color theme="1"/>
      <name val="Times New Roman"/>
      <family val="1"/>
      <charset val="204"/>
    </font>
    <font>
      <sz val="12"/>
      <color theme="1"/>
      <name val="Times New Roman"/>
      <family val="1"/>
      <charset val="204"/>
    </font>
    <font>
      <b/>
      <sz val="9"/>
      <color rgb="FF000000"/>
      <name val="Times New Roman"/>
      <family val="1"/>
      <charset val="204"/>
    </font>
    <font>
      <sz val="6"/>
      <color theme="1"/>
      <name val="Times New Roman"/>
      <family val="1"/>
      <charset val="204"/>
    </font>
  </fonts>
  <fills count="13">
    <fill>
      <patternFill patternType="none"/>
    </fill>
    <fill>
      <patternFill patternType="gray125"/>
    </fill>
    <fill>
      <patternFill patternType="solid">
        <fgColor rgb="FFFFFFFF"/>
        <bgColor indexed="64"/>
      </patternFill>
    </fill>
    <fill>
      <patternFill patternType="solid">
        <fgColor theme="0" tint="-0.499984740745262"/>
        <bgColor indexed="64"/>
      </patternFill>
    </fill>
    <fill>
      <patternFill patternType="solid">
        <fgColor theme="0"/>
        <bgColor indexed="64"/>
      </patternFill>
    </fill>
    <fill>
      <patternFill patternType="solid">
        <fgColor rgb="FF002060"/>
        <bgColor indexed="64"/>
      </patternFill>
    </fill>
    <fill>
      <patternFill patternType="solid">
        <fgColor rgb="FF3BF7F7"/>
        <bgColor indexed="64"/>
      </patternFill>
    </fill>
    <fill>
      <patternFill patternType="solid">
        <fgColor theme="8"/>
        <bgColor indexed="64"/>
      </patternFill>
    </fill>
    <fill>
      <patternFill patternType="solid">
        <fgColor rgb="FFFFC000"/>
        <bgColor indexed="64"/>
      </patternFill>
    </fill>
    <fill>
      <patternFill patternType="solid">
        <fgColor rgb="FF00B050"/>
        <bgColor indexed="64"/>
      </patternFill>
    </fill>
    <fill>
      <patternFill patternType="solid">
        <fgColor rgb="FFFFFF00"/>
        <bgColor indexed="64"/>
      </patternFill>
    </fill>
    <fill>
      <patternFill patternType="solid">
        <fgColor theme="7" tint="-0.249977111117893"/>
        <bgColor indexed="64"/>
      </patternFill>
    </fill>
    <fill>
      <patternFill patternType="solid">
        <fgColor rgb="FFBFBFBF"/>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83">
    <xf numFmtId="0" fontId="0" fillId="0" borderId="0" xfId="0"/>
    <xf numFmtId="0" fontId="12"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0" xfId="0" applyProtection="1">
      <protection locked="0"/>
    </xf>
    <xf numFmtId="1" fontId="1" fillId="0" borderId="1" xfId="0" applyNumberFormat="1" applyFont="1" applyBorder="1" applyAlignment="1" applyProtection="1">
      <alignment horizontal="center" vertical="center" wrapText="1"/>
      <protection locked="0"/>
    </xf>
    <xf numFmtId="1" fontId="4" fillId="4" borderId="1" xfId="0" applyNumberFormat="1" applyFont="1" applyFill="1" applyBorder="1" applyAlignment="1" applyProtection="1">
      <alignment horizontal="center" wrapText="1"/>
      <protection locked="0"/>
    </xf>
    <xf numFmtId="0" fontId="1" fillId="4" borderId="1" xfId="0" applyFont="1" applyFill="1" applyBorder="1" applyAlignment="1" applyProtection="1">
      <alignment horizontal="center"/>
      <protection locked="0"/>
    </xf>
    <xf numFmtId="1" fontId="8" fillId="4" borderId="1" xfId="0" applyNumberFormat="1" applyFont="1" applyFill="1" applyBorder="1" applyAlignment="1" applyProtection="1">
      <alignment horizontal="center" wrapText="1"/>
      <protection locked="0"/>
    </xf>
    <xf numFmtId="1" fontId="6" fillId="0" borderId="1" xfId="0" applyNumberFormat="1" applyFont="1" applyBorder="1" applyAlignment="1" applyProtection="1">
      <alignment horizontal="center" wrapText="1"/>
      <protection locked="0"/>
    </xf>
    <xf numFmtId="1" fontId="5" fillId="0" borderId="1" xfId="0" applyNumberFormat="1" applyFont="1" applyBorder="1" applyAlignment="1" applyProtection="1">
      <alignment horizontal="center" wrapText="1"/>
      <protection locked="0"/>
    </xf>
    <xf numFmtId="1" fontId="8" fillId="0" borderId="1" xfId="0" applyNumberFormat="1" applyFont="1" applyBorder="1" applyAlignment="1" applyProtection="1">
      <alignment horizontal="center" vertical="center" wrapText="1"/>
      <protection locked="0"/>
    </xf>
    <xf numFmtId="1" fontId="11" fillId="0" borderId="1" xfId="0" applyNumberFormat="1" applyFont="1" applyBorder="1" applyAlignment="1" applyProtection="1">
      <alignment horizontal="center" vertical="center" wrapText="1"/>
      <protection locked="0"/>
    </xf>
    <xf numFmtId="0" fontId="8" fillId="0" borderId="1" xfId="0" applyFont="1" applyBorder="1" applyAlignment="1" applyProtection="1">
      <alignment horizontal="center" vertical="center"/>
      <protection locked="0"/>
    </xf>
    <xf numFmtId="0" fontId="0" fillId="4" borderId="0" xfId="0" applyFill="1" applyBorder="1" applyAlignment="1">
      <alignment horizontal="left" wrapText="1"/>
    </xf>
    <xf numFmtId="0" fontId="12" fillId="0" borderId="1" xfId="0" applyFont="1" applyFill="1" applyBorder="1" applyAlignment="1">
      <alignment horizontal="center" vertical="center" wrapText="1"/>
    </xf>
    <xf numFmtId="0" fontId="0" fillId="5" borderId="0" xfId="0" applyFill="1"/>
    <xf numFmtId="0" fontId="0" fillId="0" borderId="0" xfId="0" applyFill="1"/>
    <xf numFmtId="1" fontId="0" fillId="0" borderId="0" xfId="0" applyNumberFormat="1"/>
    <xf numFmtId="0" fontId="0" fillId="4" borderId="0" xfId="0" applyFill="1"/>
    <xf numFmtId="0" fontId="7"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1" fontId="8" fillId="0" borderId="2" xfId="0" applyNumberFormat="1" applyFont="1" applyFill="1" applyBorder="1" applyAlignment="1" applyProtection="1">
      <alignment horizontal="center" vertical="center" wrapText="1"/>
      <protection locked="0"/>
    </xf>
    <xf numFmtId="0" fontId="0" fillId="0" borderId="0" xfId="0" applyFont="1"/>
    <xf numFmtId="1" fontId="8" fillId="0" borderId="1" xfId="0" applyNumberFormat="1" applyFont="1" applyBorder="1" applyAlignment="1" applyProtection="1">
      <alignment horizontal="center" vertical="center" wrapText="1"/>
      <protection locked="0"/>
    </xf>
    <xf numFmtId="0" fontId="8" fillId="0" borderId="1" xfId="0" applyFont="1" applyBorder="1" applyAlignment="1" applyProtection="1">
      <alignment horizontal="center" vertical="center"/>
      <protection locked="0"/>
    </xf>
    <xf numFmtId="1" fontId="8" fillId="4" borderId="1" xfId="0" applyNumberFormat="1" applyFont="1" applyFill="1" applyBorder="1" applyAlignment="1" applyProtection="1">
      <alignment horizontal="center" vertical="center" wrapText="1"/>
      <protection locked="0"/>
    </xf>
    <xf numFmtId="1" fontId="11" fillId="4" borderId="1" xfId="0" applyNumberFormat="1" applyFont="1" applyFill="1" applyBorder="1" applyAlignment="1" applyProtection="1">
      <alignment horizontal="center" vertical="center" wrapText="1"/>
      <protection locked="0"/>
    </xf>
    <xf numFmtId="1" fontId="8" fillId="3" borderId="1" xfId="0" applyNumberFormat="1" applyFont="1" applyFill="1" applyBorder="1" applyAlignment="1" applyProtection="1">
      <alignment horizontal="center" vertical="center" wrapText="1"/>
    </xf>
    <xf numFmtId="1" fontId="8" fillId="0" borderId="1" xfId="0" applyNumberFormat="1" applyFont="1" applyBorder="1" applyAlignment="1" applyProtection="1">
      <alignment horizontal="center" vertical="center" wrapText="1"/>
    </xf>
    <xf numFmtId="1" fontId="8" fillId="0" borderId="1" xfId="0" applyNumberFormat="1" applyFont="1" applyFill="1" applyBorder="1" applyAlignment="1" applyProtection="1">
      <alignment horizontal="center" vertical="center" wrapText="1"/>
    </xf>
    <xf numFmtId="0" fontId="13"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8" fillId="0" borderId="0" xfId="0" applyFont="1" applyBorder="1" applyAlignment="1" applyProtection="1">
      <alignment horizontal="center" vertical="center"/>
      <protection locked="0"/>
    </xf>
    <xf numFmtId="0" fontId="2"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1" fontId="17" fillId="0" borderId="1" xfId="0" applyNumberFormat="1" applyFont="1" applyBorder="1" applyAlignment="1" applyProtection="1">
      <alignment horizontal="center" vertical="center" wrapText="1"/>
      <protection locked="0"/>
    </xf>
    <xf numFmtId="49" fontId="0" fillId="0" borderId="0" xfId="0" applyNumberFormat="1"/>
    <xf numFmtId="0" fontId="12" fillId="11"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10" fillId="6" borderId="1" xfId="0" applyNumberFormat="1" applyFont="1" applyFill="1" applyBorder="1" applyAlignment="1">
      <alignment horizontal="center" vertical="center" wrapText="1"/>
    </xf>
    <xf numFmtId="0" fontId="18" fillId="6"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49" fontId="14" fillId="0" borderId="1" xfId="0" applyNumberFormat="1" applyFont="1" applyFill="1" applyBorder="1" applyAlignment="1" applyProtection="1">
      <alignment horizontal="center" vertical="center"/>
      <protection locked="0"/>
    </xf>
    <xf numFmtId="0" fontId="2" fillId="10" borderId="1" xfId="0" applyFont="1" applyFill="1" applyBorder="1" applyAlignment="1">
      <alignment horizontal="left" vertical="center" wrapText="1"/>
    </xf>
    <xf numFmtId="0" fontId="18" fillId="6" borderId="1" xfId="0" applyNumberFormat="1" applyFont="1" applyFill="1" applyBorder="1" applyAlignment="1">
      <alignment horizontal="center" vertical="center" wrapText="1"/>
    </xf>
    <xf numFmtId="0" fontId="15" fillId="9" borderId="1" xfId="0" applyNumberFormat="1" applyFont="1" applyFill="1" applyBorder="1" applyAlignment="1" applyProtection="1">
      <alignment horizontal="left" vertical="center" wrapText="1"/>
      <protection locked="0"/>
    </xf>
    <xf numFmtId="0" fontId="2" fillId="8" borderId="1" xfId="0" applyFont="1" applyFill="1" applyBorder="1" applyAlignment="1">
      <alignment horizontal="center" vertical="center" wrapText="1"/>
    </xf>
    <xf numFmtId="0" fontId="2" fillId="4" borderId="0" xfId="0" applyNumberFormat="1" applyFont="1" applyFill="1" applyBorder="1" applyAlignment="1">
      <alignment horizontal="center" vertical="center" wrapText="1"/>
    </xf>
    <xf numFmtId="0" fontId="2" fillId="6" borderId="7" xfId="0" applyNumberFormat="1" applyFont="1" applyFill="1" applyBorder="1" applyAlignment="1">
      <alignment horizontal="center" vertical="center" wrapText="1"/>
    </xf>
    <xf numFmtId="0" fontId="10" fillId="4" borderId="0" xfId="0" applyFont="1" applyFill="1" applyBorder="1" applyAlignment="1">
      <alignment horizontal="left" wrapText="1"/>
    </xf>
    <xf numFmtId="0" fontId="16" fillId="4" borderId="6" xfId="0" applyFont="1" applyFill="1" applyBorder="1" applyAlignment="1">
      <alignment horizontal="center"/>
    </xf>
    <xf numFmtId="0" fontId="19" fillId="4" borderId="8" xfId="0" applyFont="1" applyFill="1" applyBorder="1" applyAlignment="1">
      <alignment horizontal="center" vertical="center" wrapText="1"/>
    </xf>
    <xf numFmtId="0" fontId="19" fillId="0" borderId="9" xfId="0" applyFont="1" applyBorder="1" applyAlignment="1">
      <alignment horizontal="center" vertical="center" wrapText="1"/>
    </xf>
    <xf numFmtId="0" fontId="19" fillId="12" borderId="9" xfId="0" applyFont="1" applyFill="1" applyBorder="1" applyAlignment="1">
      <alignment horizontal="center" vertical="center" wrapText="1"/>
    </xf>
    <xf numFmtId="0" fontId="19" fillId="4" borderId="9" xfId="0" applyFont="1" applyFill="1" applyBorder="1" applyAlignment="1">
      <alignment horizontal="center" vertical="center" wrapText="1"/>
    </xf>
    <xf numFmtId="1" fontId="20" fillId="0" borderId="1" xfId="0" applyNumberFormat="1" applyFont="1" applyBorder="1" applyAlignment="1" applyProtection="1">
      <alignment horizontal="center" vertical="center" wrapText="1"/>
      <protection locked="0"/>
    </xf>
    <xf numFmtId="1" fontId="4" fillId="4" borderId="1" xfId="0" applyNumberFormat="1" applyFont="1" applyFill="1" applyBorder="1" applyAlignment="1" applyProtection="1">
      <alignment horizontal="center" wrapText="1"/>
      <protection locked="0"/>
    </xf>
    <xf numFmtId="1" fontId="4" fillId="0" borderId="1" xfId="0" applyNumberFormat="1" applyFont="1" applyBorder="1" applyAlignment="1" applyProtection="1">
      <alignment horizontal="center" textRotation="90" wrapText="1"/>
      <protection locked="0"/>
    </xf>
    <xf numFmtId="1" fontId="4" fillId="0" borderId="1" xfId="0" applyNumberFormat="1" applyFont="1" applyBorder="1" applyAlignment="1" applyProtection="1">
      <alignment horizontal="center" vertical="center" wrapText="1"/>
      <protection locked="0"/>
    </xf>
    <xf numFmtId="1" fontId="3" fillId="0" borderId="0" xfId="0" applyNumberFormat="1" applyFont="1" applyAlignment="1" applyProtection="1">
      <alignment horizontal="center" wrapText="1"/>
      <protection locked="0"/>
    </xf>
    <xf numFmtId="1" fontId="3" fillId="0" borderId="0" xfId="0" applyNumberFormat="1" applyFont="1" applyAlignment="1" applyProtection="1">
      <alignment horizontal="center"/>
      <protection locked="0"/>
    </xf>
    <xf numFmtId="1" fontId="3" fillId="0" borderId="0" xfId="0" applyNumberFormat="1" applyFont="1" applyBorder="1" applyAlignment="1" applyProtection="1">
      <alignment horizontal="center"/>
      <protection locked="0"/>
    </xf>
    <xf numFmtId="1" fontId="4" fillId="4" borderId="1" xfId="0" applyNumberFormat="1" applyFont="1" applyFill="1" applyBorder="1" applyAlignment="1" applyProtection="1">
      <alignment horizontal="center" wrapText="1"/>
      <protection locked="0"/>
    </xf>
    <xf numFmtId="1" fontId="4" fillId="0" borderId="1" xfId="0" applyNumberFormat="1" applyFont="1" applyBorder="1" applyAlignment="1" applyProtection="1">
      <alignment horizontal="center" wrapText="1"/>
      <protection locked="0"/>
    </xf>
    <xf numFmtId="1" fontId="4" fillId="0" borderId="1" xfId="0" applyNumberFormat="1" applyFont="1" applyBorder="1" applyAlignment="1" applyProtection="1">
      <alignment horizontal="center" vertical="center" textRotation="90" wrapText="1"/>
      <protection locked="0"/>
    </xf>
    <xf numFmtId="1" fontId="5" fillId="0" borderId="1" xfId="0" applyNumberFormat="1" applyFont="1" applyBorder="1" applyAlignment="1" applyProtection="1">
      <alignment horizontal="center" wrapText="1"/>
      <protection locked="0"/>
    </xf>
    <xf numFmtId="1" fontId="0" fillId="0" borderId="1" xfId="0" applyNumberFormat="1" applyBorder="1" applyAlignment="1" applyProtection="1">
      <alignment wrapText="1"/>
      <protection locked="0"/>
    </xf>
    <xf numFmtId="0" fontId="10" fillId="0" borderId="0" xfId="0" applyFont="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 fontId="4" fillId="0" borderId="2" xfId="0" applyNumberFormat="1" applyFont="1" applyBorder="1" applyAlignment="1" applyProtection="1">
      <alignment horizontal="center" vertical="center" wrapText="1"/>
      <protection locked="0"/>
    </xf>
    <xf numFmtId="1" fontId="4" fillId="4" borderId="1" xfId="0" applyNumberFormat="1" applyFont="1" applyFill="1" applyBorder="1" applyAlignment="1" applyProtection="1">
      <alignment horizontal="center" textRotation="90" wrapText="1"/>
      <protection locked="0"/>
    </xf>
    <xf numFmtId="0" fontId="12" fillId="0" borderId="1"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colors>
    <mruColors>
      <color rgb="FFF8ACAA"/>
      <color rgb="FF3BF7F7"/>
      <color rgb="FFFF5B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Лист1!$B$1:$B$3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Лист1!$B$4:$B$17</c:f>
              <c:numCache>
                <c:formatCode>0</c:formatCode>
                <c:ptCount val="14"/>
                <c:pt idx="0">
                  <c:v>0</c:v>
                </c:pt>
                <c:pt idx="5">
                  <c:v>0</c:v>
                </c:pt>
              </c:numCache>
            </c:numRef>
          </c:val>
          <c:extLst>
            <c:ext xmlns:c16="http://schemas.microsoft.com/office/drawing/2014/chart" uri="{C3380CC4-5D6E-409C-BE32-E72D297353CC}">
              <c16:uniqueId val="{00000000-4EEE-4438-A887-1DD9CD036B0F}"/>
            </c:ext>
          </c:extLst>
        </c:ser>
        <c:ser>
          <c:idx val="1"/>
          <c:order val="1"/>
          <c:tx>
            <c:strRef>
              <c:f>Лист1!$C$1:$C$3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Лист1!$C$4:$C$18</c:f>
              <c:numCache>
                <c:formatCode>0</c:formatCode>
                <c:ptCount val="15"/>
                <c:pt idx="0">
                  <c:v>0</c:v>
                </c:pt>
                <c:pt idx="4">
                  <c:v>0</c:v>
                </c:pt>
                <c:pt idx="5" formatCode="General">
                  <c:v>69</c:v>
                </c:pt>
              </c:numCache>
            </c:numRef>
          </c:val>
          <c:extLst>
            <c:ext xmlns:c16="http://schemas.microsoft.com/office/drawing/2014/chart" uri="{C3380CC4-5D6E-409C-BE32-E72D297353CC}">
              <c16:uniqueId val="{00000001-4EEE-4438-A887-1DD9CD036B0F}"/>
            </c:ext>
          </c:extLst>
        </c:ser>
        <c:ser>
          <c:idx val="2"/>
          <c:order val="2"/>
          <c:tx>
            <c:strRef>
              <c:f>Лист1!$D$1:$D$3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Лист1!$D$4:$D$18</c:f>
              <c:numCache>
                <c:formatCode>0</c:formatCode>
                <c:ptCount val="15"/>
                <c:pt idx="4">
                  <c:v>0</c:v>
                </c:pt>
                <c:pt idx="5" formatCode="General">
                  <c:v>17</c:v>
                </c:pt>
              </c:numCache>
            </c:numRef>
          </c:val>
          <c:extLst>
            <c:ext xmlns:c16="http://schemas.microsoft.com/office/drawing/2014/chart" uri="{C3380CC4-5D6E-409C-BE32-E72D297353CC}">
              <c16:uniqueId val="{00000002-4EEE-4438-A887-1DD9CD036B0F}"/>
            </c:ext>
          </c:extLst>
        </c:ser>
        <c:ser>
          <c:idx val="3"/>
          <c:order val="3"/>
          <c:tx>
            <c:strRef>
              <c:f>Лист1!$E$1:$E$3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Лист1!$E$4:$E$18</c:f>
              <c:numCache>
                <c:formatCode>0</c:formatCode>
                <c:ptCount val="15"/>
                <c:pt idx="0">
                  <c:v>0</c:v>
                </c:pt>
                <c:pt idx="5">
                  <c:v>86</c:v>
                </c:pt>
              </c:numCache>
            </c:numRef>
          </c:val>
          <c:extLst>
            <c:ext xmlns:c16="http://schemas.microsoft.com/office/drawing/2014/chart" uri="{C3380CC4-5D6E-409C-BE32-E72D297353CC}">
              <c16:uniqueId val="{00000003-4EEE-4438-A887-1DD9CD036B0F}"/>
            </c:ext>
          </c:extLst>
        </c:ser>
        <c:ser>
          <c:idx val="4"/>
          <c:order val="4"/>
          <c:tx>
            <c:strRef>
              <c:f>Лист1!$F$1:$F$3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Лист1!$F$4:$F$18</c:f>
              <c:numCache>
                <c:formatCode>0</c:formatCode>
                <c:ptCount val="15"/>
                <c:pt idx="0">
                  <c:v>0</c:v>
                </c:pt>
                <c:pt idx="1">
                  <c:v>0</c:v>
                </c:pt>
                <c:pt idx="2">
                  <c:v>0</c:v>
                </c:pt>
                <c:pt idx="5" formatCode="General">
                  <c:v>64</c:v>
                </c:pt>
              </c:numCache>
            </c:numRef>
          </c:val>
          <c:extLst>
            <c:ext xmlns:c16="http://schemas.microsoft.com/office/drawing/2014/chart" uri="{C3380CC4-5D6E-409C-BE32-E72D297353CC}">
              <c16:uniqueId val="{00000004-4EEE-4438-A887-1DD9CD036B0F}"/>
            </c:ext>
          </c:extLst>
        </c:ser>
        <c:ser>
          <c:idx val="5"/>
          <c:order val="5"/>
          <c:tx>
            <c:strRef>
              <c:f>Лист1!$G$1:$G$3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Лист1!$G$4:$G$18</c:f>
              <c:numCache>
                <c:formatCode>0</c:formatCode>
                <c:ptCount val="15"/>
                <c:pt idx="2">
                  <c:v>0</c:v>
                </c:pt>
                <c:pt idx="4">
                  <c:v>0</c:v>
                </c:pt>
                <c:pt idx="5" formatCode="General">
                  <c:v>15</c:v>
                </c:pt>
              </c:numCache>
            </c:numRef>
          </c:val>
          <c:extLst>
            <c:ext xmlns:c16="http://schemas.microsoft.com/office/drawing/2014/chart" uri="{C3380CC4-5D6E-409C-BE32-E72D297353CC}">
              <c16:uniqueId val="{00000005-4EEE-4438-A887-1DD9CD036B0F}"/>
            </c:ext>
          </c:extLst>
        </c:ser>
        <c:ser>
          <c:idx val="6"/>
          <c:order val="6"/>
          <c:tx>
            <c:strRef>
              <c:f>Лист1!$H$1:$H$3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Лист1!$H$4:$H$18</c:f>
              <c:numCache>
                <c:formatCode>0</c:formatCode>
                <c:ptCount val="15"/>
                <c:pt idx="4">
                  <c:v>0</c:v>
                </c:pt>
                <c:pt idx="5" formatCode="General">
                  <c:v>7</c:v>
                </c:pt>
              </c:numCache>
            </c:numRef>
          </c:val>
          <c:extLst>
            <c:ext xmlns:c16="http://schemas.microsoft.com/office/drawing/2014/chart" uri="{C3380CC4-5D6E-409C-BE32-E72D297353CC}">
              <c16:uniqueId val="{00000006-4EEE-4438-A887-1DD9CD036B0F}"/>
            </c:ext>
          </c:extLst>
        </c:ser>
        <c:ser>
          <c:idx val="7"/>
          <c:order val="7"/>
          <c:tx>
            <c:strRef>
              <c:f>Лист1!$I$1:$I$3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Лист1!$I$4:$I$18</c:f>
              <c:numCache>
                <c:formatCode>0</c:formatCode>
                <c:ptCount val="15"/>
                <c:pt idx="2">
                  <c:v>0</c:v>
                </c:pt>
                <c:pt idx="5" formatCode="General">
                  <c:v>9</c:v>
                </c:pt>
              </c:numCache>
            </c:numRef>
          </c:val>
          <c:extLst>
            <c:ext xmlns:c16="http://schemas.microsoft.com/office/drawing/2014/chart" uri="{C3380CC4-5D6E-409C-BE32-E72D297353CC}">
              <c16:uniqueId val="{00000007-4EEE-4438-A887-1DD9CD036B0F}"/>
            </c:ext>
          </c:extLst>
        </c:ser>
        <c:ser>
          <c:idx val="8"/>
          <c:order val="8"/>
          <c:tx>
            <c:strRef>
              <c:f>Лист1!$J$1:$J$3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Лист1!$J$4:$J$18</c:f>
              <c:numCache>
                <c:formatCode>0</c:formatCode>
                <c:ptCount val="15"/>
                <c:pt idx="0">
                  <c:v>0</c:v>
                </c:pt>
                <c:pt idx="5">
                  <c:v>73</c:v>
                </c:pt>
              </c:numCache>
            </c:numRef>
          </c:val>
          <c:extLst>
            <c:ext xmlns:c16="http://schemas.microsoft.com/office/drawing/2014/chart" uri="{C3380CC4-5D6E-409C-BE32-E72D297353CC}">
              <c16:uniqueId val="{00000008-4EEE-4438-A887-1DD9CD036B0F}"/>
            </c:ext>
          </c:extLst>
        </c:ser>
        <c:ser>
          <c:idx val="9"/>
          <c:order val="9"/>
          <c:tx>
            <c:strRef>
              <c:f>Лист1!$K$1:$K$3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Лист1!$K$4:$K$18</c:f>
              <c:numCache>
                <c:formatCode>0</c:formatCode>
                <c:ptCount val="15"/>
                <c:pt idx="0">
                  <c:v>0</c:v>
                </c:pt>
                <c:pt idx="1">
                  <c:v>0</c:v>
                </c:pt>
                <c:pt idx="4">
                  <c:v>0</c:v>
                </c:pt>
                <c:pt idx="5">
                  <c:v>31</c:v>
                </c:pt>
              </c:numCache>
            </c:numRef>
          </c:val>
          <c:extLst>
            <c:ext xmlns:c16="http://schemas.microsoft.com/office/drawing/2014/chart" uri="{C3380CC4-5D6E-409C-BE32-E72D297353CC}">
              <c16:uniqueId val="{00000009-4EEE-4438-A887-1DD9CD036B0F}"/>
            </c:ext>
          </c:extLst>
        </c:ser>
        <c:ser>
          <c:idx val="10"/>
          <c:order val="10"/>
          <c:tx>
            <c:strRef>
              <c:f>Лист1!$L$1:$L$3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Лист1!$L$4:$L$18</c:f>
              <c:numCache>
                <c:formatCode>0</c:formatCode>
                <c:ptCount val="15"/>
                <c:pt idx="3">
                  <c:v>2</c:v>
                </c:pt>
                <c:pt idx="4">
                  <c:v>0</c:v>
                </c:pt>
                <c:pt idx="5">
                  <c:v>8</c:v>
                </c:pt>
                <c:pt idx="8" formatCode="General">
                  <c:v>0</c:v>
                </c:pt>
              </c:numCache>
            </c:numRef>
          </c:val>
          <c:extLst>
            <c:ext xmlns:c16="http://schemas.microsoft.com/office/drawing/2014/chart" uri="{C3380CC4-5D6E-409C-BE32-E72D297353CC}">
              <c16:uniqueId val="{0000000A-4EEE-4438-A887-1DD9CD036B0F}"/>
            </c:ext>
          </c:extLst>
        </c:ser>
        <c:ser>
          <c:idx val="11"/>
          <c:order val="11"/>
          <c:tx>
            <c:strRef>
              <c:f>Лист1!$M$1:$M$3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Лист1!$M$4:$M$18</c:f>
              <c:numCache>
                <c:formatCode>0</c:formatCode>
                <c:ptCount val="15"/>
                <c:pt idx="0">
                  <c:v>0</c:v>
                </c:pt>
                <c:pt idx="5">
                  <c:v>39</c:v>
                </c:pt>
                <c:pt idx="7" formatCode="General">
                  <c:v>0</c:v>
                </c:pt>
              </c:numCache>
            </c:numRef>
          </c:val>
          <c:extLst>
            <c:ext xmlns:c16="http://schemas.microsoft.com/office/drawing/2014/chart" uri="{C3380CC4-5D6E-409C-BE32-E72D297353CC}">
              <c16:uniqueId val="{0000000B-4EEE-4438-A887-1DD9CD036B0F}"/>
            </c:ext>
          </c:extLst>
        </c:ser>
        <c:ser>
          <c:idx val="12"/>
          <c:order val="12"/>
          <c:tx>
            <c:strRef>
              <c:f>Лист1!$N$1:$N$3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Лист1!$N$4:$N$18</c:f>
              <c:numCache>
                <c:formatCode>0</c:formatCode>
                <c:ptCount val="15"/>
                <c:pt idx="0">
                  <c:v>0</c:v>
                </c:pt>
                <c:pt idx="3">
                  <c:v>3</c:v>
                </c:pt>
                <c:pt idx="4">
                  <c:v>0</c:v>
                </c:pt>
                <c:pt idx="5" formatCode="General">
                  <c:v>3</c:v>
                </c:pt>
              </c:numCache>
            </c:numRef>
          </c:val>
          <c:extLst>
            <c:ext xmlns:c16="http://schemas.microsoft.com/office/drawing/2014/chart" uri="{C3380CC4-5D6E-409C-BE32-E72D297353CC}">
              <c16:uniqueId val="{0000000C-4EEE-4438-A887-1DD9CD036B0F}"/>
            </c:ext>
          </c:extLst>
        </c:ser>
        <c:ser>
          <c:idx val="13"/>
          <c:order val="13"/>
          <c:tx>
            <c:strRef>
              <c:f>Лист1!$O$1:$O$3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Лист1!$O$4:$O$18</c:f>
              <c:numCache>
                <c:formatCode>0</c:formatCode>
                <c:ptCount val="15"/>
                <c:pt idx="3">
                  <c:v>4</c:v>
                </c:pt>
                <c:pt idx="4">
                  <c:v>0</c:v>
                </c:pt>
                <c:pt idx="5" formatCode="General">
                  <c:v>0</c:v>
                </c:pt>
              </c:numCache>
            </c:numRef>
          </c:val>
          <c:extLst>
            <c:ext xmlns:c16="http://schemas.microsoft.com/office/drawing/2014/chart" uri="{C3380CC4-5D6E-409C-BE32-E72D297353CC}">
              <c16:uniqueId val="{0000000D-4EEE-4438-A887-1DD9CD036B0F}"/>
            </c:ext>
          </c:extLst>
        </c:ser>
        <c:ser>
          <c:idx val="14"/>
          <c:order val="14"/>
          <c:tx>
            <c:strRef>
              <c:f>Лист1!$P$1:$P$3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Лист1!$P$4:$P$18</c:f>
              <c:numCache>
                <c:formatCode>0</c:formatCode>
                <c:ptCount val="15"/>
                <c:pt idx="0">
                  <c:v>0</c:v>
                </c:pt>
                <c:pt idx="3">
                  <c:v>5</c:v>
                </c:pt>
                <c:pt idx="4">
                  <c:v>0</c:v>
                </c:pt>
                <c:pt idx="5" formatCode="General">
                  <c:v>2</c:v>
                </c:pt>
              </c:numCache>
            </c:numRef>
          </c:val>
          <c:extLst>
            <c:ext xmlns:c16="http://schemas.microsoft.com/office/drawing/2014/chart" uri="{C3380CC4-5D6E-409C-BE32-E72D297353CC}">
              <c16:uniqueId val="{0000000E-4EEE-4438-A887-1DD9CD036B0F}"/>
            </c:ext>
          </c:extLst>
        </c:ser>
        <c:ser>
          <c:idx val="15"/>
          <c:order val="15"/>
          <c:tx>
            <c:strRef>
              <c:f>Лист1!$Q$1:$Q$3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Лист1!$Q$4:$Q$18</c:f>
              <c:numCache>
                <c:formatCode>0</c:formatCode>
                <c:ptCount val="15"/>
                <c:pt idx="3">
                  <c:v>6</c:v>
                </c:pt>
                <c:pt idx="4">
                  <c:v>0</c:v>
                </c:pt>
                <c:pt idx="5" formatCode="General">
                  <c:v>0</c:v>
                </c:pt>
              </c:numCache>
            </c:numRef>
          </c:val>
          <c:extLst>
            <c:ext xmlns:c16="http://schemas.microsoft.com/office/drawing/2014/chart" uri="{C3380CC4-5D6E-409C-BE32-E72D297353CC}">
              <c16:uniqueId val="{0000000F-4EEE-4438-A887-1DD9CD036B0F}"/>
            </c:ext>
          </c:extLst>
        </c:ser>
        <c:ser>
          <c:idx val="16"/>
          <c:order val="16"/>
          <c:tx>
            <c:strRef>
              <c:f>Лист1!$R$1:$R$3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Лист1!$R$4:$R$18</c:f>
              <c:numCache>
                <c:formatCode>0</c:formatCode>
                <c:ptCount val="15"/>
                <c:pt idx="0">
                  <c:v>0</c:v>
                </c:pt>
                <c:pt idx="3">
                  <c:v>7</c:v>
                </c:pt>
                <c:pt idx="4">
                  <c:v>0</c:v>
                </c:pt>
                <c:pt idx="5" formatCode="General">
                  <c:v>9</c:v>
                </c:pt>
              </c:numCache>
            </c:numRef>
          </c:val>
          <c:extLst>
            <c:ext xmlns:c16="http://schemas.microsoft.com/office/drawing/2014/chart" uri="{C3380CC4-5D6E-409C-BE32-E72D297353CC}">
              <c16:uniqueId val="{00000010-4EEE-4438-A887-1DD9CD036B0F}"/>
            </c:ext>
          </c:extLst>
        </c:ser>
        <c:ser>
          <c:idx val="17"/>
          <c:order val="17"/>
          <c:tx>
            <c:strRef>
              <c:f>Лист1!$S$1:$S$3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Лист1!$S$4:$S$18</c:f>
              <c:numCache>
                <c:formatCode>0</c:formatCode>
                <c:ptCount val="15"/>
                <c:pt idx="3">
                  <c:v>8</c:v>
                </c:pt>
                <c:pt idx="4">
                  <c:v>0</c:v>
                </c:pt>
                <c:pt idx="5" formatCode="General">
                  <c:v>0</c:v>
                </c:pt>
              </c:numCache>
            </c:numRef>
          </c:val>
          <c:extLst>
            <c:ext xmlns:c16="http://schemas.microsoft.com/office/drawing/2014/chart" uri="{C3380CC4-5D6E-409C-BE32-E72D297353CC}">
              <c16:uniqueId val="{00000011-4EEE-4438-A887-1DD9CD036B0F}"/>
            </c:ext>
          </c:extLst>
        </c:ser>
        <c:ser>
          <c:idx val="18"/>
          <c:order val="18"/>
          <c:tx>
            <c:strRef>
              <c:f>Лист1!$T$1:$T$3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Лист1!$T$4:$T$18</c:f>
              <c:numCache>
                <c:formatCode>0</c:formatCode>
                <c:ptCount val="15"/>
                <c:pt idx="0">
                  <c:v>0</c:v>
                </c:pt>
                <c:pt idx="3">
                  <c:v>9</c:v>
                </c:pt>
                <c:pt idx="4">
                  <c:v>0</c:v>
                </c:pt>
                <c:pt idx="5" formatCode="General">
                  <c:v>4</c:v>
                </c:pt>
              </c:numCache>
            </c:numRef>
          </c:val>
          <c:extLst>
            <c:ext xmlns:c16="http://schemas.microsoft.com/office/drawing/2014/chart" uri="{C3380CC4-5D6E-409C-BE32-E72D297353CC}">
              <c16:uniqueId val="{00000012-4EEE-4438-A887-1DD9CD036B0F}"/>
            </c:ext>
          </c:extLst>
        </c:ser>
        <c:ser>
          <c:idx val="19"/>
          <c:order val="19"/>
          <c:tx>
            <c:strRef>
              <c:f>Лист1!$U$1:$U$3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Лист1!$U$4:$U$18</c:f>
              <c:numCache>
                <c:formatCode>0</c:formatCode>
                <c:ptCount val="15"/>
                <c:pt idx="3">
                  <c:v>10</c:v>
                </c:pt>
                <c:pt idx="4">
                  <c:v>0</c:v>
                </c:pt>
                <c:pt idx="5" formatCode="General">
                  <c:v>0</c:v>
                </c:pt>
              </c:numCache>
            </c:numRef>
          </c:val>
          <c:extLst>
            <c:ext xmlns:c16="http://schemas.microsoft.com/office/drawing/2014/chart" uri="{C3380CC4-5D6E-409C-BE32-E72D297353CC}">
              <c16:uniqueId val="{00000013-4EEE-4438-A887-1DD9CD036B0F}"/>
            </c:ext>
          </c:extLst>
        </c:ser>
        <c:ser>
          <c:idx val="20"/>
          <c:order val="20"/>
          <c:tx>
            <c:strRef>
              <c:f>Лист1!$V$1:$V$3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Лист1!$V$4:$V$18</c:f>
              <c:numCache>
                <c:formatCode>0</c:formatCode>
                <c:ptCount val="15"/>
                <c:pt idx="0">
                  <c:v>0</c:v>
                </c:pt>
                <c:pt idx="3">
                  <c:v>11</c:v>
                </c:pt>
                <c:pt idx="4">
                  <c:v>0</c:v>
                </c:pt>
                <c:pt idx="5" formatCode="General">
                  <c:v>0</c:v>
                </c:pt>
              </c:numCache>
            </c:numRef>
          </c:val>
          <c:extLst>
            <c:ext xmlns:c16="http://schemas.microsoft.com/office/drawing/2014/chart" uri="{C3380CC4-5D6E-409C-BE32-E72D297353CC}">
              <c16:uniqueId val="{00000014-4EEE-4438-A887-1DD9CD036B0F}"/>
            </c:ext>
          </c:extLst>
        </c:ser>
        <c:ser>
          <c:idx val="21"/>
          <c:order val="21"/>
          <c:tx>
            <c:strRef>
              <c:f>Лист1!$W$1:$W$3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Лист1!$W$4:$W$18</c:f>
              <c:numCache>
                <c:formatCode>0</c:formatCode>
                <c:ptCount val="15"/>
                <c:pt idx="3">
                  <c:v>12</c:v>
                </c:pt>
                <c:pt idx="4">
                  <c:v>0</c:v>
                </c:pt>
                <c:pt idx="5" formatCode="General">
                  <c:v>0</c:v>
                </c:pt>
              </c:numCache>
            </c:numRef>
          </c:val>
          <c:extLst>
            <c:ext xmlns:c16="http://schemas.microsoft.com/office/drawing/2014/chart" uri="{C3380CC4-5D6E-409C-BE32-E72D297353CC}">
              <c16:uniqueId val="{00000015-4EEE-4438-A887-1DD9CD036B0F}"/>
            </c:ext>
          </c:extLst>
        </c:ser>
        <c:ser>
          <c:idx val="22"/>
          <c:order val="22"/>
          <c:tx>
            <c:strRef>
              <c:f>Лист1!$X$1:$X$3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Лист1!$X$4:$X$18</c:f>
              <c:numCache>
                <c:formatCode>0</c:formatCode>
                <c:ptCount val="15"/>
                <c:pt idx="0">
                  <c:v>0</c:v>
                </c:pt>
                <c:pt idx="3">
                  <c:v>13</c:v>
                </c:pt>
                <c:pt idx="4">
                  <c:v>0</c:v>
                </c:pt>
                <c:pt idx="5" formatCode="General">
                  <c:v>0</c:v>
                </c:pt>
              </c:numCache>
            </c:numRef>
          </c:val>
          <c:extLst>
            <c:ext xmlns:c16="http://schemas.microsoft.com/office/drawing/2014/chart" uri="{C3380CC4-5D6E-409C-BE32-E72D297353CC}">
              <c16:uniqueId val="{00000016-4EEE-4438-A887-1DD9CD036B0F}"/>
            </c:ext>
          </c:extLst>
        </c:ser>
        <c:ser>
          <c:idx val="23"/>
          <c:order val="23"/>
          <c:tx>
            <c:strRef>
              <c:f>Лист1!$Y$1:$Y$3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Лист1!$Y$4:$Y$18</c:f>
              <c:numCache>
                <c:formatCode>0</c:formatCode>
                <c:ptCount val="15"/>
                <c:pt idx="3">
                  <c:v>14</c:v>
                </c:pt>
                <c:pt idx="4">
                  <c:v>0</c:v>
                </c:pt>
                <c:pt idx="5" formatCode="General">
                  <c:v>0</c:v>
                </c:pt>
              </c:numCache>
            </c:numRef>
          </c:val>
          <c:extLst>
            <c:ext xmlns:c16="http://schemas.microsoft.com/office/drawing/2014/chart" uri="{C3380CC4-5D6E-409C-BE32-E72D297353CC}">
              <c16:uniqueId val="{00000017-4EEE-4438-A887-1DD9CD036B0F}"/>
            </c:ext>
          </c:extLst>
        </c:ser>
        <c:ser>
          <c:idx val="24"/>
          <c:order val="24"/>
          <c:tx>
            <c:strRef>
              <c:f>Лист1!$Z$1:$Z$3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Лист1!$Z$4:$Z$18</c:f>
              <c:numCache>
                <c:formatCode>0</c:formatCode>
                <c:ptCount val="15"/>
                <c:pt idx="0">
                  <c:v>0</c:v>
                </c:pt>
                <c:pt idx="3">
                  <c:v>15</c:v>
                </c:pt>
                <c:pt idx="4">
                  <c:v>0</c:v>
                </c:pt>
                <c:pt idx="5" formatCode="General">
                  <c:v>0</c:v>
                </c:pt>
              </c:numCache>
            </c:numRef>
          </c:val>
          <c:extLst>
            <c:ext xmlns:c16="http://schemas.microsoft.com/office/drawing/2014/chart" uri="{C3380CC4-5D6E-409C-BE32-E72D297353CC}">
              <c16:uniqueId val="{00000018-4EEE-4438-A887-1DD9CD036B0F}"/>
            </c:ext>
          </c:extLst>
        </c:ser>
        <c:ser>
          <c:idx val="25"/>
          <c:order val="25"/>
          <c:tx>
            <c:strRef>
              <c:f>Лист1!$AA$1:$AA$3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Лист1!$AA$4:$AA$18</c:f>
              <c:numCache>
                <c:formatCode>0</c:formatCode>
                <c:ptCount val="15"/>
                <c:pt idx="3">
                  <c:v>16</c:v>
                </c:pt>
                <c:pt idx="4">
                  <c:v>0</c:v>
                </c:pt>
                <c:pt idx="5" formatCode="General">
                  <c:v>1</c:v>
                </c:pt>
              </c:numCache>
            </c:numRef>
          </c:val>
          <c:extLst>
            <c:ext xmlns:c16="http://schemas.microsoft.com/office/drawing/2014/chart" uri="{C3380CC4-5D6E-409C-BE32-E72D297353CC}">
              <c16:uniqueId val="{00000019-4EEE-4438-A887-1DD9CD036B0F}"/>
            </c:ext>
          </c:extLst>
        </c:ser>
        <c:ser>
          <c:idx val="26"/>
          <c:order val="26"/>
          <c:tx>
            <c:strRef>
              <c:f>Лист1!$AB$1:$AB$3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Лист1!$AB$4:$AB$18</c:f>
              <c:numCache>
                <c:formatCode>0</c:formatCode>
                <c:ptCount val="15"/>
                <c:pt idx="0">
                  <c:v>0</c:v>
                </c:pt>
                <c:pt idx="3">
                  <c:v>17</c:v>
                </c:pt>
              </c:numCache>
            </c:numRef>
          </c:val>
          <c:extLst>
            <c:ext xmlns:c16="http://schemas.microsoft.com/office/drawing/2014/chart" uri="{C3380CC4-5D6E-409C-BE32-E72D297353CC}">
              <c16:uniqueId val="{0000001A-4EEE-4438-A887-1DD9CD036B0F}"/>
            </c:ext>
          </c:extLst>
        </c:ser>
        <c:ser>
          <c:idx val="27"/>
          <c:order val="27"/>
          <c:tx>
            <c:strRef>
              <c:f>Лист1!$AC$1:$AC$3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Лист1!$AC$4:$AC$18</c:f>
              <c:numCache>
                <c:formatCode>0</c:formatCode>
                <c:ptCount val="15"/>
                <c:pt idx="0">
                  <c:v>0</c:v>
                </c:pt>
                <c:pt idx="3">
                  <c:v>18</c:v>
                </c:pt>
              </c:numCache>
            </c:numRef>
          </c:val>
          <c:extLst>
            <c:ext xmlns:c16="http://schemas.microsoft.com/office/drawing/2014/chart" uri="{C3380CC4-5D6E-409C-BE32-E72D297353CC}">
              <c16:uniqueId val="{0000001B-4EEE-4438-A887-1DD9CD036B0F}"/>
            </c:ext>
          </c:extLst>
        </c:ser>
        <c:ser>
          <c:idx val="28"/>
          <c:order val="28"/>
          <c:tx>
            <c:strRef>
              <c:f>Лист1!$AD$1:$AD$3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Лист1!$AD$4:$AD$18</c:f>
              <c:numCache>
                <c:formatCode>0</c:formatCode>
                <c:ptCount val="15"/>
                <c:pt idx="0">
                  <c:v>0</c:v>
                </c:pt>
                <c:pt idx="3">
                  <c:v>19</c:v>
                </c:pt>
                <c:pt idx="5">
                  <c:v>15</c:v>
                </c:pt>
              </c:numCache>
            </c:numRef>
          </c:val>
          <c:extLst>
            <c:ext xmlns:c16="http://schemas.microsoft.com/office/drawing/2014/chart" uri="{C3380CC4-5D6E-409C-BE32-E72D297353CC}">
              <c16:uniqueId val="{0000001C-4EEE-4438-A887-1DD9CD036B0F}"/>
            </c:ext>
          </c:extLst>
        </c:ser>
        <c:ser>
          <c:idx val="29"/>
          <c:order val="29"/>
          <c:tx>
            <c:strRef>
              <c:f>Лист1!$AE$1:$AE$3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Лист1!$AE$4:$AE$18</c:f>
              <c:numCache>
                <c:formatCode>0</c:formatCode>
                <c:ptCount val="15"/>
                <c:pt idx="0">
                  <c:v>0</c:v>
                </c:pt>
                <c:pt idx="3">
                  <c:v>20</c:v>
                </c:pt>
                <c:pt idx="5">
                  <c:v>0</c:v>
                </c:pt>
              </c:numCache>
            </c:numRef>
          </c:val>
          <c:extLst>
            <c:ext xmlns:c16="http://schemas.microsoft.com/office/drawing/2014/chart" uri="{C3380CC4-5D6E-409C-BE32-E72D297353CC}">
              <c16:uniqueId val="{0000001D-4EEE-4438-A887-1DD9CD036B0F}"/>
            </c:ext>
          </c:extLst>
        </c:ser>
        <c:ser>
          <c:idx val="30"/>
          <c:order val="30"/>
          <c:tx>
            <c:strRef>
              <c:f>Лист1!$AF$1:$AF$3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Лист1!$AF$4:$AF$18</c:f>
              <c:numCache>
                <c:formatCode>0</c:formatCode>
                <c:ptCount val="15"/>
                <c:pt idx="0">
                  <c:v>0</c:v>
                </c:pt>
                <c:pt idx="3" formatCode="General">
                  <c:v>21</c:v>
                </c:pt>
              </c:numCache>
            </c:numRef>
          </c:val>
          <c:extLst>
            <c:ext xmlns:c16="http://schemas.microsoft.com/office/drawing/2014/chart" uri="{C3380CC4-5D6E-409C-BE32-E72D297353CC}">
              <c16:uniqueId val="{0000001E-4EEE-4438-A887-1DD9CD036B0F}"/>
            </c:ext>
          </c:extLst>
        </c:ser>
        <c:ser>
          <c:idx val="31"/>
          <c:order val="31"/>
          <c:tx>
            <c:strRef>
              <c:f>Лист1!$AG$1:$AG$3</c:f>
              <c:strCache>
                <c:ptCount val="3"/>
                <c:pt idx="0">
                  <c:v>Строевая записка 
Ногинского спасательного центра на 19 мая 2026 года 
</c:v>
                </c:pt>
              </c:strCache>
            </c:strRef>
          </c:tx>
          <c:invertIfNegative val="0"/>
          <c:cat>
            <c:strRef>
              <c:f>Лист1!$A$4:$A$18</c:f>
              <c:strCache>
                <c:ptCount val="8"/>
                <c:pt idx="0">
                  <c:v>Отметка о внесенных изменениях</c:v>
                </c:pt>
                <c:pt idx="5">
                  <c:v>+</c:v>
                </c:pt>
                <c:pt idx="7">
                  <c:v>
</c:v>
                </c:pt>
              </c:strCache>
            </c:strRef>
          </c:cat>
          <c:val>
            <c:numRef>
              <c:f>Лист1!$AG$4:$AG$18</c:f>
              <c:numCache>
                <c:formatCode>0</c:formatCode>
                <c:ptCount val="15"/>
                <c:pt idx="0">
                  <c:v>0</c:v>
                </c:pt>
                <c:pt idx="3" formatCode="General">
                  <c:v>22</c:v>
                </c:pt>
              </c:numCache>
            </c:numRef>
          </c:val>
          <c:extLst>
            <c:ext xmlns:c16="http://schemas.microsoft.com/office/drawing/2014/chart" uri="{C3380CC4-5D6E-409C-BE32-E72D297353CC}">
              <c16:uniqueId val="{0000001F-4EEE-4438-A887-1DD9CD036B0F}"/>
            </c:ext>
          </c:extLst>
        </c:ser>
        <c:dLbls>
          <c:showLegendKey val="0"/>
          <c:showVal val="0"/>
          <c:showCatName val="0"/>
          <c:showSerName val="0"/>
          <c:showPercent val="0"/>
          <c:showBubbleSize val="0"/>
        </c:dLbls>
        <c:gapWidth val="150"/>
        <c:axId val="100569472"/>
        <c:axId val="100571008"/>
      </c:barChart>
      <c:catAx>
        <c:axId val="100569472"/>
        <c:scaling>
          <c:orientation val="minMax"/>
        </c:scaling>
        <c:delete val="0"/>
        <c:axPos val="b"/>
        <c:numFmt formatCode="General" sourceLinked="0"/>
        <c:majorTickMark val="out"/>
        <c:minorTickMark val="none"/>
        <c:tickLblPos val="nextTo"/>
        <c:crossAx val="100571008"/>
        <c:crosses val="autoZero"/>
        <c:auto val="1"/>
        <c:lblAlgn val="ctr"/>
        <c:lblOffset val="100"/>
        <c:noMultiLvlLbl val="0"/>
      </c:catAx>
      <c:valAx>
        <c:axId val="100571008"/>
        <c:scaling>
          <c:orientation val="minMax"/>
        </c:scaling>
        <c:delete val="0"/>
        <c:axPos val="l"/>
        <c:majorGridlines/>
        <c:numFmt formatCode="0" sourceLinked="1"/>
        <c:majorTickMark val="out"/>
        <c:minorTickMark val="none"/>
        <c:tickLblPos val="nextTo"/>
        <c:crossAx val="100569472"/>
        <c:crosses val="autoZero"/>
        <c:crossBetween val="between"/>
      </c:valAx>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5"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301370" cy="6071152"/>
    <xdr:graphicFrame macro="">
      <xdr:nvGraphicFramePr>
        <xdr:cNvPr id="2" name="Диаграмма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
  <sheetViews>
    <sheetView tabSelected="1" view="pageBreakPreview" zoomScale="70" zoomScaleNormal="124" zoomScaleSheetLayoutView="70" workbookViewId="0">
      <selection activeCell="T9" sqref="T9"/>
    </sheetView>
  </sheetViews>
  <sheetFormatPr defaultRowHeight="15" x14ac:dyDescent="0.25"/>
  <cols>
    <col min="1" max="1" width="11.85546875" customWidth="1"/>
    <col min="2" max="2" width="14.42578125" customWidth="1"/>
    <col min="3" max="4" width="6.42578125" customWidth="1"/>
    <col min="5" max="5" width="6.85546875" customWidth="1"/>
    <col min="6" max="6" width="6.42578125" customWidth="1"/>
    <col min="7" max="7" width="6.140625" customWidth="1"/>
    <col min="8" max="8" width="7" customWidth="1"/>
    <col min="9" max="9" width="7.42578125" customWidth="1"/>
    <col min="10" max="10" width="6.42578125" customWidth="1"/>
    <col min="11" max="11" width="7.42578125" customWidth="1"/>
    <col min="12" max="12" width="7" customWidth="1"/>
    <col min="13" max="13" width="7.42578125" customWidth="1"/>
    <col min="14" max="14" width="7.140625" customWidth="1"/>
    <col min="15" max="15" width="7.42578125" customWidth="1"/>
    <col min="16" max="16" width="7.140625" customWidth="1"/>
    <col min="17" max="17" width="7" customWidth="1"/>
    <col min="18" max="19" width="8" customWidth="1"/>
    <col min="20" max="21" width="7.42578125" customWidth="1"/>
    <col min="22" max="22" width="7.85546875" customWidth="1"/>
    <col min="23" max="23" width="8.42578125" customWidth="1"/>
    <col min="24" max="24" width="8" customWidth="1"/>
    <col min="25" max="25" width="7.42578125" customWidth="1"/>
    <col min="26" max="26" width="7.85546875" customWidth="1"/>
    <col min="27" max="27" width="7.42578125" customWidth="1"/>
    <col min="28" max="28" width="4.42578125" customWidth="1"/>
    <col min="29" max="29" width="9.42578125" customWidth="1"/>
    <col min="30" max="30" width="5.42578125" customWidth="1"/>
    <col min="32" max="32" width="4.42578125" customWidth="1"/>
  </cols>
  <sheetData>
    <row r="1" spans="1:35" x14ac:dyDescent="0.25">
      <c r="B1" s="68" t="s">
        <v>58</v>
      </c>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
      <c r="AG1" s="6"/>
    </row>
    <row r="2" spans="1:35" x14ac:dyDescent="0.25">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
      <c r="AG2" s="6"/>
    </row>
    <row r="3" spans="1:35" ht="15.75" thickBot="1" x14ac:dyDescent="0.3">
      <c r="B3" s="70"/>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6"/>
      <c r="AG3" s="6"/>
    </row>
    <row r="4" spans="1:35" ht="15.75" customHeight="1" thickBot="1" x14ac:dyDescent="0.3">
      <c r="A4" s="77" t="s">
        <v>37</v>
      </c>
      <c r="B4" s="80" t="s">
        <v>0</v>
      </c>
      <c r="C4" s="71" t="s">
        <v>1</v>
      </c>
      <c r="D4" s="71"/>
      <c r="E4" s="81" t="s">
        <v>2</v>
      </c>
      <c r="F4" s="72" t="s">
        <v>3</v>
      </c>
      <c r="G4" s="72"/>
      <c r="H4" s="72"/>
      <c r="I4" s="72"/>
      <c r="J4" s="73" t="s">
        <v>2</v>
      </c>
      <c r="K4" s="72" t="s">
        <v>5</v>
      </c>
      <c r="L4" s="72"/>
      <c r="M4" s="73" t="s">
        <v>2</v>
      </c>
      <c r="N4" s="67" t="s">
        <v>7</v>
      </c>
      <c r="O4" s="67"/>
      <c r="P4" s="67" t="s">
        <v>8</v>
      </c>
      <c r="Q4" s="67"/>
      <c r="R4" s="67" t="s">
        <v>9</v>
      </c>
      <c r="S4" s="67"/>
      <c r="T4" s="67" t="s">
        <v>28</v>
      </c>
      <c r="U4" s="67"/>
      <c r="V4" s="67" t="s">
        <v>10</v>
      </c>
      <c r="W4" s="67"/>
      <c r="X4" s="67" t="s">
        <v>29</v>
      </c>
      <c r="Y4" s="67"/>
      <c r="Z4" s="67" t="s">
        <v>11</v>
      </c>
      <c r="AA4" s="67"/>
      <c r="AB4" s="66" t="s">
        <v>30</v>
      </c>
      <c r="AC4" s="66" t="s">
        <v>31</v>
      </c>
      <c r="AD4" s="66" t="s">
        <v>32</v>
      </c>
      <c r="AE4" s="66" t="s">
        <v>33</v>
      </c>
      <c r="AF4" s="66" t="s">
        <v>34</v>
      </c>
      <c r="AG4" s="66" t="s">
        <v>35</v>
      </c>
    </row>
    <row r="5" spans="1:35" ht="15.75" customHeight="1" thickBot="1" x14ac:dyDescent="0.3">
      <c r="A5" s="78"/>
      <c r="B5" s="80"/>
      <c r="C5" s="71"/>
      <c r="D5" s="71"/>
      <c r="E5" s="81"/>
      <c r="F5" s="72" t="s">
        <v>4</v>
      </c>
      <c r="G5" s="72"/>
      <c r="H5" s="72"/>
      <c r="I5" s="72"/>
      <c r="J5" s="73"/>
      <c r="K5" s="72" t="s">
        <v>6</v>
      </c>
      <c r="L5" s="72"/>
      <c r="M5" s="73"/>
      <c r="N5" s="67"/>
      <c r="O5" s="67"/>
      <c r="P5" s="67"/>
      <c r="Q5" s="67"/>
      <c r="R5" s="67"/>
      <c r="S5" s="67"/>
      <c r="T5" s="67"/>
      <c r="U5" s="67"/>
      <c r="V5" s="67"/>
      <c r="W5" s="67"/>
      <c r="X5" s="67"/>
      <c r="Y5" s="67"/>
      <c r="Z5" s="67"/>
      <c r="AA5" s="67"/>
      <c r="AB5" s="66"/>
      <c r="AC5" s="66"/>
      <c r="AD5" s="66"/>
      <c r="AE5" s="66"/>
      <c r="AF5" s="66"/>
      <c r="AG5" s="66"/>
    </row>
    <row r="6" spans="1:35" ht="15" customHeight="1" thickBot="1" x14ac:dyDescent="0.3">
      <c r="A6" s="78"/>
      <c r="B6" s="80"/>
      <c r="C6" s="71"/>
      <c r="D6" s="71"/>
      <c r="E6" s="81"/>
      <c r="F6" s="74" t="s">
        <v>12</v>
      </c>
      <c r="G6" s="72" t="s">
        <v>13</v>
      </c>
      <c r="H6" s="72"/>
      <c r="I6" s="74" t="s">
        <v>14</v>
      </c>
      <c r="J6" s="73"/>
      <c r="K6" s="75"/>
      <c r="L6" s="75"/>
      <c r="M6" s="73"/>
      <c r="N6" s="67"/>
      <c r="O6" s="67"/>
      <c r="P6" s="67"/>
      <c r="Q6" s="67"/>
      <c r="R6" s="67"/>
      <c r="S6" s="67"/>
      <c r="T6" s="67"/>
      <c r="U6" s="67"/>
      <c r="V6" s="67"/>
      <c r="W6" s="67"/>
      <c r="X6" s="67"/>
      <c r="Y6" s="67"/>
      <c r="Z6" s="67"/>
      <c r="AA6" s="67"/>
      <c r="AB6" s="66"/>
      <c r="AC6" s="66"/>
      <c r="AD6" s="66"/>
      <c r="AE6" s="66"/>
      <c r="AF6" s="66"/>
      <c r="AG6" s="66"/>
    </row>
    <row r="7" spans="1:35" ht="15.75" thickBot="1" x14ac:dyDescent="0.3">
      <c r="A7" s="78"/>
      <c r="B7" s="80"/>
      <c r="C7" s="71"/>
      <c r="D7" s="71"/>
      <c r="E7" s="81"/>
      <c r="F7" s="74"/>
      <c r="G7" s="72"/>
      <c r="H7" s="72"/>
      <c r="I7" s="74"/>
      <c r="J7" s="73"/>
      <c r="K7" s="7"/>
      <c r="L7" s="7">
        <v>2</v>
      </c>
      <c r="M7" s="73"/>
      <c r="N7" s="8">
        <v>3</v>
      </c>
      <c r="O7" s="8">
        <v>4</v>
      </c>
      <c r="P7" s="8">
        <v>5</v>
      </c>
      <c r="Q7" s="65">
        <v>6</v>
      </c>
      <c r="R7" s="65">
        <v>7</v>
      </c>
      <c r="S7" s="65">
        <v>8</v>
      </c>
      <c r="T7" s="65">
        <v>9</v>
      </c>
      <c r="U7" s="65">
        <v>10</v>
      </c>
      <c r="V7" s="65">
        <v>11</v>
      </c>
      <c r="W7" s="65">
        <v>12</v>
      </c>
      <c r="X7" s="65">
        <v>13</v>
      </c>
      <c r="Y7" s="65">
        <v>14</v>
      </c>
      <c r="Z7" s="65">
        <v>15</v>
      </c>
      <c r="AA7" s="65">
        <v>16</v>
      </c>
      <c r="AB7" s="65">
        <v>17</v>
      </c>
      <c r="AC7" s="8">
        <v>18</v>
      </c>
      <c r="AD7" s="8">
        <v>19</v>
      </c>
      <c r="AE7" s="8">
        <v>20</v>
      </c>
      <c r="AF7" s="9">
        <v>21</v>
      </c>
      <c r="AG7" s="9">
        <v>22</v>
      </c>
    </row>
    <row r="8" spans="1:35" ht="15.75" thickBot="1" x14ac:dyDescent="0.3">
      <c r="A8" s="79"/>
      <c r="B8" s="80"/>
      <c r="C8" s="10" t="s">
        <v>12</v>
      </c>
      <c r="D8" s="10" t="s">
        <v>14</v>
      </c>
      <c r="E8" s="81"/>
      <c r="F8" s="74"/>
      <c r="G8" s="11" t="s">
        <v>15</v>
      </c>
      <c r="H8" s="11" t="s">
        <v>16</v>
      </c>
      <c r="I8" s="74"/>
      <c r="J8" s="73"/>
      <c r="K8" s="12" t="s">
        <v>12</v>
      </c>
      <c r="L8" s="12" t="s">
        <v>14</v>
      </c>
      <c r="M8" s="73"/>
      <c r="N8" s="12" t="s">
        <v>12</v>
      </c>
      <c r="O8" s="12" t="s">
        <v>14</v>
      </c>
      <c r="P8" s="12" t="s">
        <v>12</v>
      </c>
      <c r="Q8" s="12" t="s">
        <v>14</v>
      </c>
      <c r="R8" s="12" t="s">
        <v>12</v>
      </c>
      <c r="S8" s="12" t="s">
        <v>14</v>
      </c>
      <c r="T8" s="12" t="s">
        <v>12</v>
      </c>
      <c r="U8" s="12" t="s">
        <v>14</v>
      </c>
      <c r="V8" s="12" t="s">
        <v>12</v>
      </c>
      <c r="W8" s="12" t="s">
        <v>14</v>
      </c>
      <c r="X8" s="12" t="s">
        <v>12</v>
      </c>
      <c r="Y8" s="12" t="s">
        <v>14</v>
      </c>
      <c r="Z8" s="12" t="s">
        <v>12</v>
      </c>
      <c r="AA8" s="12" t="s">
        <v>14</v>
      </c>
      <c r="AB8" s="13"/>
      <c r="AC8" s="14"/>
      <c r="AD8" s="13"/>
      <c r="AE8" s="14"/>
      <c r="AF8" s="15"/>
      <c r="AG8" s="15"/>
    </row>
    <row r="9" spans="1:35" ht="30.75" customHeight="1" thickBot="1" x14ac:dyDescent="0.3">
      <c r="A9" s="51" t="s">
        <v>51</v>
      </c>
      <c r="B9" s="24" t="s">
        <v>24</v>
      </c>
      <c r="C9" s="60">
        <v>69</v>
      </c>
      <c r="D9" s="61">
        <v>17</v>
      </c>
      <c r="E9" s="28">
        <f t="shared" ref="E9" si="0">SUM(C9,D9)</f>
        <v>86</v>
      </c>
      <c r="F9" s="60">
        <v>64</v>
      </c>
      <c r="G9" s="62">
        <v>15</v>
      </c>
      <c r="H9" s="62">
        <v>7</v>
      </c>
      <c r="I9" s="61">
        <v>9</v>
      </c>
      <c r="J9" s="26">
        <f t="shared" ref="J9" si="1">SUM(F9+I9)</f>
        <v>73</v>
      </c>
      <c r="K9" s="30">
        <f>F9-N9-P9-R9-T9-V9-X9-Z9-AD9</f>
        <v>31</v>
      </c>
      <c r="L9" s="32">
        <v>8</v>
      </c>
      <c r="M9" s="31">
        <f t="shared" ref="M9" si="2">L9+K9</f>
        <v>39</v>
      </c>
      <c r="N9" s="60">
        <v>3</v>
      </c>
      <c r="O9" s="61">
        <v>0</v>
      </c>
      <c r="P9" s="63">
        <v>2</v>
      </c>
      <c r="Q9" s="61">
        <v>0</v>
      </c>
      <c r="R9" s="63">
        <v>9</v>
      </c>
      <c r="S9" s="61">
        <v>0</v>
      </c>
      <c r="T9" s="63">
        <v>4</v>
      </c>
      <c r="U9" s="61">
        <v>0</v>
      </c>
      <c r="V9" s="63">
        <v>0</v>
      </c>
      <c r="W9" s="61">
        <v>0</v>
      </c>
      <c r="X9" s="63">
        <v>0</v>
      </c>
      <c r="Y9" s="61">
        <v>0</v>
      </c>
      <c r="Z9" s="63">
        <v>0</v>
      </c>
      <c r="AA9" s="61">
        <v>1</v>
      </c>
      <c r="AB9" s="26"/>
      <c r="AC9" s="29"/>
      <c r="AD9" s="28">
        <v>15</v>
      </c>
      <c r="AE9" s="64" t="s">
        <v>55</v>
      </c>
      <c r="AF9" s="27"/>
      <c r="AG9" s="44"/>
    </row>
    <row r="10" spans="1:35" ht="21" customHeight="1" x14ac:dyDescent="0.3">
      <c r="A10" s="59"/>
      <c r="B10" s="58"/>
      <c r="C10" s="59"/>
      <c r="D10" s="59"/>
      <c r="E10" s="59"/>
      <c r="F10" s="59"/>
      <c r="G10" s="59"/>
      <c r="H10" s="59"/>
      <c r="I10" s="59"/>
      <c r="J10" s="59"/>
      <c r="K10" s="59"/>
      <c r="L10" s="59"/>
      <c r="M10" s="20"/>
    </row>
    <row r="11" spans="1:35" ht="21" customHeight="1" x14ac:dyDescent="0.25">
      <c r="A11" s="58" t="s">
        <v>53</v>
      </c>
      <c r="B11" s="58"/>
      <c r="C11" s="58"/>
      <c r="D11" s="58"/>
      <c r="E11" s="58"/>
      <c r="F11" s="58"/>
      <c r="G11" s="58"/>
      <c r="H11" s="58"/>
      <c r="I11" s="58"/>
      <c r="J11" s="58"/>
      <c r="K11" s="58"/>
      <c r="L11" s="16"/>
      <c r="M11" s="76" t="s">
        <v>56</v>
      </c>
      <c r="N11" s="76"/>
      <c r="O11" s="76"/>
      <c r="P11" s="76"/>
      <c r="Q11" s="76"/>
      <c r="R11" s="76"/>
      <c r="S11" s="76"/>
      <c r="T11" s="76"/>
      <c r="U11" s="76"/>
    </row>
    <row r="12" spans="1:35" ht="18.75" customHeight="1" x14ac:dyDescent="0.25">
      <c r="A12" s="58"/>
      <c r="B12" s="58"/>
      <c r="C12" s="58"/>
      <c r="D12" s="58"/>
      <c r="E12" s="58"/>
      <c r="F12" s="58"/>
      <c r="G12" s="58"/>
      <c r="H12" s="58"/>
      <c r="I12" s="58"/>
      <c r="J12" s="58"/>
      <c r="K12" s="58"/>
      <c r="L12" s="76" t="s">
        <v>57</v>
      </c>
      <c r="M12" s="76"/>
      <c r="N12" s="76"/>
      <c r="O12" s="76"/>
      <c r="P12" s="76"/>
      <c r="Q12" s="76"/>
      <c r="R12" s="76"/>
      <c r="S12" s="76"/>
      <c r="T12" s="76"/>
      <c r="U12" s="76"/>
      <c r="V12" s="76"/>
    </row>
    <row r="13" spans="1:35" ht="21" customHeight="1" x14ac:dyDescent="0.25">
      <c r="A13" s="58"/>
      <c r="B13" s="58"/>
      <c r="C13" s="58"/>
      <c r="D13" s="58"/>
      <c r="E13" s="58"/>
      <c r="F13" s="58"/>
      <c r="G13" s="58"/>
      <c r="H13" s="58"/>
      <c r="I13" s="58"/>
      <c r="J13" s="58"/>
      <c r="K13" s="58"/>
      <c r="L13" s="16"/>
    </row>
    <row r="14" spans="1:35" ht="21" customHeight="1" x14ac:dyDescent="0.25">
      <c r="A14" s="58"/>
      <c r="B14" s="58"/>
      <c r="C14" s="58"/>
      <c r="D14" s="58"/>
      <c r="E14" s="58"/>
      <c r="F14" s="58"/>
      <c r="G14" s="58"/>
      <c r="H14" s="58"/>
      <c r="I14" s="58"/>
      <c r="J14" s="58"/>
      <c r="K14" s="58"/>
      <c r="L14" s="16"/>
      <c r="AH14" s="40"/>
      <c r="AI14" s="40"/>
    </row>
    <row r="15" spans="1:35" ht="21" customHeight="1" x14ac:dyDescent="0.25">
      <c r="A15" s="58"/>
      <c r="B15" s="58"/>
      <c r="C15" s="58"/>
      <c r="D15" s="58"/>
      <c r="E15" s="58"/>
      <c r="F15" s="58"/>
      <c r="G15" s="58"/>
      <c r="H15" s="58"/>
      <c r="I15" s="58"/>
      <c r="J15" s="58"/>
      <c r="K15" s="58"/>
      <c r="L15" s="16"/>
    </row>
    <row r="16" spans="1:35" ht="21" customHeight="1" x14ac:dyDescent="0.25">
      <c r="A16" s="58"/>
      <c r="B16" s="58"/>
      <c r="C16" s="58"/>
      <c r="D16" s="58"/>
      <c r="E16" s="58"/>
      <c r="F16" s="58"/>
      <c r="G16" s="58"/>
      <c r="H16" s="58"/>
      <c r="I16" s="58"/>
      <c r="J16" s="58"/>
      <c r="K16" s="58"/>
      <c r="L16" s="16"/>
    </row>
    <row r="17" spans="1:33" s="25" customFormat="1" ht="21" customHeight="1" x14ac:dyDescent="0.25">
      <c r="A17" s="58"/>
      <c r="B17" s="58"/>
      <c r="C17" s="58"/>
      <c r="D17" s="58"/>
      <c r="E17" s="58"/>
      <c r="F17" s="58"/>
      <c r="G17" s="58"/>
      <c r="H17" s="58"/>
      <c r="I17" s="58"/>
      <c r="J17" s="58"/>
      <c r="K17" s="58"/>
      <c r="L17" s="16"/>
      <c r="M17"/>
      <c r="N17"/>
      <c r="O17"/>
      <c r="P17"/>
      <c r="Q17"/>
      <c r="R17"/>
      <c r="S17"/>
      <c r="T17"/>
      <c r="U17"/>
      <c r="V17"/>
      <c r="W17"/>
      <c r="X17"/>
      <c r="Y17"/>
      <c r="Z17"/>
      <c r="AA17"/>
      <c r="AB17"/>
      <c r="AC17"/>
      <c r="AD17"/>
      <c r="AE17"/>
      <c r="AF17"/>
      <c r="AG17"/>
    </row>
    <row r="18" spans="1:33" ht="18.75" customHeight="1" x14ac:dyDescent="0.25">
      <c r="A18" s="58"/>
      <c r="C18" s="58"/>
      <c r="D18" s="58"/>
      <c r="E18" s="58"/>
      <c r="F18" s="58"/>
      <c r="G18" s="58"/>
      <c r="H18" s="58"/>
      <c r="I18" s="58"/>
      <c r="J18" s="58"/>
      <c r="K18" s="58"/>
      <c r="L18" s="16"/>
    </row>
    <row r="19" spans="1:33" ht="50.25" customHeight="1" x14ac:dyDescent="0.25"/>
    <row r="20" spans="1:33" ht="31.5" customHeight="1" x14ac:dyDescent="0.25">
      <c r="A20" s="45"/>
    </row>
    <row r="21" spans="1:33" ht="21" customHeight="1" x14ac:dyDescent="0.25"/>
    <row r="22" spans="1:33" ht="21" customHeight="1" x14ac:dyDescent="0.25"/>
    <row r="23" spans="1:33" ht="26.25" customHeight="1" x14ac:dyDescent="0.25"/>
    <row r="24" spans="1:33" ht="21" customHeight="1" x14ac:dyDescent="0.25"/>
    <row r="25" spans="1:33" ht="21" customHeight="1" x14ac:dyDescent="0.25"/>
    <row r="26" spans="1:33" ht="21" customHeight="1" x14ac:dyDescent="0.25"/>
    <row r="27" spans="1:33" ht="28.5" customHeight="1" x14ac:dyDescent="0.25"/>
    <row r="28" spans="1:33" ht="39" customHeight="1" x14ac:dyDescent="0.25"/>
  </sheetData>
  <sheetProtection selectLockedCells="1"/>
  <mergeCells count="30">
    <mergeCell ref="M11:U11"/>
    <mergeCell ref="L12:V12"/>
    <mergeCell ref="P4:Q6"/>
    <mergeCell ref="A4:A8"/>
    <mergeCell ref="B4:B8"/>
    <mergeCell ref="E4:E8"/>
    <mergeCell ref="F4:I4"/>
    <mergeCell ref="F5:I5"/>
    <mergeCell ref="B1:AE3"/>
    <mergeCell ref="C4:D7"/>
    <mergeCell ref="G6:H7"/>
    <mergeCell ref="Z4:AA6"/>
    <mergeCell ref="AB4:AB6"/>
    <mergeCell ref="AD4:AD6"/>
    <mergeCell ref="J4:J8"/>
    <mergeCell ref="F6:F8"/>
    <mergeCell ref="I6:I8"/>
    <mergeCell ref="R4:S6"/>
    <mergeCell ref="V4:W6"/>
    <mergeCell ref="K4:L4"/>
    <mergeCell ref="K5:L5"/>
    <mergeCell ref="K6:L6"/>
    <mergeCell ref="M4:M8"/>
    <mergeCell ref="N4:O6"/>
    <mergeCell ref="AG4:AG6"/>
    <mergeCell ref="T4:U6"/>
    <mergeCell ref="X4:Y6"/>
    <mergeCell ref="AC4:AC6"/>
    <mergeCell ref="AF4:AF6"/>
    <mergeCell ref="AE4:AE6"/>
  </mergeCells>
  <pageMargins left="0" right="0" top="0.74803149606299213" bottom="0.74803149606299213" header="0.31496062992125984" footer="0.31496062992125984"/>
  <pageSetup paperSize="9" scale="5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zoomScale="85" zoomScaleNormal="85" workbookViewId="0">
      <selection activeCell="C9" sqref="C9"/>
    </sheetView>
  </sheetViews>
  <sheetFormatPr defaultRowHeight="15" x14ac:dyDescent="0.25"/>
  <cols>
    <col min="1" max="1" width="22.42578125" customWidth="1"/>
    <col min="2" max="2" width="93.42578125" customWidth="1"/>
    <col min="3" max="5" width="30.42578125" customWidth="1"/>
  </cols>
  <sheetData>
    <row r="1" spans="1:20" ht="31.5" customHeight="1" thickBot="1" x14ac:dyDescent="0.3">
      <c r="A1" s="1" t="s">
        <v>0</v>
      </c>
      <c r="B1" s="82" t="s">
        <v>36</v>
      </c>
      <c r="C1" s="82"/>
      <c r="D1" s="82"/>
      <c r="E1" s="82"/>
    </row>
    <row r="2" spans="1:20" ht="15.75" thickBot="1" x14ac:dyDescent="0.3">
      <c r="A2" s="17" t="s">
        <v>17</v>
      </c>
      <c r="B2" s="23" t="s">
        <v>42</v>
      </c>
      <c r="C2" s="23"/>
      <c r="D2" s="17"/>
      <c r="E2" s="17"/>
    </row>
    <row r="3" spans="1:20" ht="54.75" customHeight="1" thickBot="1" x14ac:dyDescent="0.3">
      <c r="A3" s="42" t="s">
        <v>18</v>
      </c>
      <c r="B3" s="52" t="s">
        <v>46</v>
      </c>
      <c r="C3" s="43">
        <v>1</v>
      </c>
      <c r="D3" s="17"/>
      <c r="E3" s="17"/>
    </row>
    <row r="4" spans="1:20" ht="15.75" thickBot="1" x14ac:dyDescent="0.3">
      <c r="A4" s="17" t="s">
        <v>19</v>
      </c>
      <c r="B4" s="23" t="s">
        <v>48</v>
      </c>
      <c r="C4" s="23">
        <v>1</v>
      </c>
      <c r="D4" s="17"/>
      <c r="E4" s="17"/>
    </row>
    <row r="5" spans="1:20" ht="15.75" thickBot="1" x14ac:dyDescent="0.3">
      <c r="A5" s="17" t="s">
        <v>20</v>
      </c>
      <c r="B5" s="23"/>
      <c r="C5" s="23"/>
      <c r="D5" s="17"/>
      <c r="E5" s="17"/>
    </row>
    <row r="6" spans="1:20" ht="15.75" thickBot="1" x14ac:dyDescent="0.3">
      <c r="A6" s="17" t="s">
        <v>22</v>
      </c>
      <c r="B6" s="50"/>
      <c r="C6" s="23"/>
      <c r="D6" s="17"/>
      <c r="E6" s="17"/>
    </row>
    <row r="7" spans="1:20" ht="87" customHeight="1" thickBot="1" x14ac:dyDescent="0.3">
      <c r="A7" s="41" t="s">
        <v>23</v>
      </c>
      <c r="B7" s="54" t="s">
        <v>45</v>
      </c>
      <c r="C7" s="41">
        <v>6</v>
      </c>
      <c r="D7" s="17"/>
      <c r="E7" s="17"/>
    </row>
    <row r="8" spans="1:20" s="18" customFormat="1" ht="33.75" customHeight="1" thickBot="1" x14ac:dyDescent="0.3">
      <c r="A8" s="36" t="s">
        <v>40</v>
      </c>
      <c r="B8" s="37" t="s">
        <v>47</v>
      </c>
      <c r="C8" s="37">
        <v>1</v>
      </c>
      <c r="D8" s="36"/>
      <c r="E8" s="36"/>
      <c r="F8" s="19"/>
      <c r="G8" s="19"/>
      <c r="H8" s="19"/>
      <c r="I8" s="19"/>
      <c r="J8" s="19"/>
      <c r="K8" s="19"/>
      <c r="L8" s="19"/>
      <c r="M8" s="19"/>
      <c r="N8" s="19"/>
      <c r="O8" s="19"/>
      <c r="P8" s="19"/>
      <c r="Q8" s="19"/>
      <c r="R8" s="21"/>
      <c r="S8" s="21"/>
      <c r="T8" s="21"/>
    </row>
    <row r="9" spans="1:20" ht="111.75" customHeight="1" thickBot="1" x14ac:dyDescent="0.3">
      <c r="A9" s="38" t="s">
        <v>39</v>
      </c>
      <c r="B9" s="55" t="s">
        <v>54</v>
      </c>
      <c r="C9" s="39">
        <v>11</v>
      </c>
      <c r="D9" s="38"/>
      <c r="E9" s="38"/>
    </row>
    <row r="10" spans="1:20" ht="39" thickBot="1" x14ac:dyDescent="0.3">
      <c r="A10" s="17" t="str">
        <f>+Лист2!B3</f>
        <v>ст. с-т Вахрушев В.В. (г.Бердянск, Запорожской обл.)</v>
      </c>
      <c r="B10" s="23" t="s">
        <v>44</v>
      </c>
      <c r="C10" s="23"/>
      <c r="D10" s="17"/>
      <c r="E10" s="17"/>
    </row>
    <row r="11" spans="1:20" ht="170.25" customHeight="1" thickBot="1" x14ac:dyDescent="0.3">
      <c r="A11" s="49" t="s">
        <v>25</v>
      </c>
      <c r="B11" s="48" t="s">
        <v>49</v>
      </c>
      <c r="C11" s="35">
        <v>25</v>
      </c>
      <c r="D11" s="53" t="s">
        <v>50</v>
      </c>
      <c r="E11" s="57">
        <v>1</v>
      </c>
      <c r="F11" s="56"/>
      <c r="G11" s="56"/>
      <c r="H11" s="56"/>
      <c r="I11" s="56"/>
      <c r="J11" s="56"/>
      <c r="K11" s="56"/>
      <c r="L11" s="56"/>
      <c r="M11" s="56"/>
      <c r="N11" s="56"/>
      <c r="O11" s="56"/>
      <c r="P11" s="56"/>
      <c r="Q11" s="56"/>
    </row>
    <row r="12" spans="1:20" s="19" customFormat="1" ht="15.75" thickBot="1" x14ac:dyDescent="0.3">
      <c r="A12" s="17" t="s">
        <v>26</v>
      </c>
      <c r="B12" s="23"/>
      <c r="C12" s="23"/>
      <c r="D12" s="17"/>
      <c r="E12" s="17"/>
    </row>
    <row r="13" spans="1:20" ht="65.25" customHeight="1" thickBot="1" x14ac:dyDescent="0.3">
      <c r="A13" s="17" t="s">
        <v>38</v>
      </c>
      <c r="B13" s="34" t="s">
        <v>52</v>
      </c>
      <c r="C13" s="33">
        <v>4</v>
      </c>
      <c r="D13" s="17"/>
      <c r="E13" s="17"/>
    </row>
    <row r="14" spans="1:20" ht="45.75" customHeight="1" thickBot="1" x14ac:dyDescent="0.3">
      <c r="A14" s="46" t="s">
        <v>27</v>
      </c>
      <c r="B14" s="47"/>
      <c r="C14" s="47">
        <v>0</v>
      </c>
      <c r="D14" s="46">
        <v>0</v>
      </c>
      <c r="E14" s="46">
        <v>0</v>
      </c>
    </row>
    <row r="15" spans="1:20" ht="31.5" customHeight="1" thickBot="1" x14ac:dyDescent="0.3">
      <c r="A15" s="17" t="s">
        <v>41</v>
      </c>
      <c r="B15" s="23"/>
      <c r="C15" s="23">
        <v>0</v>
      </c>
      <c r="D15" s="23"/>
      <c r="E15" s="23">
        <v>0</v>
      </c>
    </row>
    <row r="16" spans="1:20" ht="61.5" customHeight="1" thickBot="1" x14ac:dyDescent="0.3">
      <c r="A16" s="17" t="s">
        <v>21</v>
      </c>
      <c r="B16" s="22" t="s">
        <v>43</v>
      </c>
      <c r="C16" s="23">
        <v>4</v>
      </c>
      <c r="D16" s="2"/>
      <c r="E16" s="2"/>
    </row>
    <row r="17" spans="1:5" ht="15.75" thickBot="1" x14ac:dyDescent="0.3">
      <c r="A17" s="4"/>
      <c r="B17" s="3"/>
      <c r="C17" s="5">
        <f>SUM(C2:C16)</f>
        <v>53</v>
      </c>
      <c r="D17" s="1"/>
      <c r="E17" s="5">
        <f>SUM(E2:E16)</f>
        <v>1</v>
      </c>
    </row>
    <row r="18" spans="1:5" x14ac:dyDescent="0.25">
      <c r="A18">
        <f>+Лист2!C112</f>
        <v>0</v>
      </c>
    </row>
  </sheetData>
  <mergeCells count="1">
    <mergeCell ref="B1:E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Диаграммы</vt:lpstr>
      </vt:variant>
      <vt:variant>
        <vt:i4>1</vt:i4>
      </vt:variant>
    </vt:vector>
  </HeadingPairs>
  <TitlesOfParts>
    <vt:vector size="3" baseType="lpstr">
      <vt:lpstr>Лист1</vt:lpstr>
      <vt:lpstr>Лист2</vt:lpstr>
      <vt:lpstr>Диаграмма1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ARM_6_10</cp:lastModifiedBy>
  <cp:lastPrinted>2026-05-18T06:20:38Z</cp:lastPrinted>
  <dcterms:created xsi:type="dcterms:W3CDTF">2020-08-28T12:19:38Z</dcterms:created>
  <dcterms:modified xsi:type="dcterms:W3CDTF">2026-05-19T06:00:38Z</dcterms:modified>
</cp:coreProperties>
</file>