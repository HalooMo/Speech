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0065" windowHeight="6045" tabRatio="282" firstSheet="1" activeTab="1" autoFilterDateGrouping="1"/>
  </bookViews>
  <sheets>
    <sheet xmlns:r="http://schemas.openxmlformats.org/officeDocument/2006/relationships" name="Диаграмма1" sheetId="1" state="visible" r:id="rId1"/>
    <sheet xmlns:r="http://schemas.openxmlformats.org/officeDocument/2006/relationships" name="Лист1" sheetId="2" state="visible" r:id="rId2"/>
    <sheet xmlns:r="http://schemas.openxmlformats.org/officeDocument/2006/relationships" name="Лист2" sheetId="3" state="visible" r:id="rId3"/>
  </sheets>
  <definedNames/>
  <calcPr calcId="162913" fullCalcOnLoad="1"/>
</workbook>
</file>

<file path=xl/styles.xml><?xml version="1.0" encoding="utf-8"?>
<styleSheet xmlns="http://schemas.openxmlformats.org/spreadsheetml/2006/main">
  <numFmts count="0"/>
  <fonts count="21">
    <font>
      <name val="Calibri"/>
      <charset val="204"/>
      <family val="2"/>
      <color theme="1"/>
      <sz val="11"/>
      <scheme val="minor"/>
    </font>
    <font>
      <name val="Calibri"/>
      <charset val="204"/>
      <family val="2"/>
      <b val="1"/>
      <color theme="1"/>
      <sz val="11"/>
      <scheme val="minor"/>
    </font>
    <font>
      <name val="Times New Roman"/>
      <charset val="204"/>
      <family val="1"/>
      <color theme="1"/>
      <sz val="10"/>
    </font>
    <font>
      <name val="Times New Roman"/>
      <charset val="204"/>
      <family val="1"/>
      <b val="1"/>
      <color theme="1"/>
      <sz val="12"/>
    </font>
    <font>
      <name val="Times New Roman"/>
      <charset val="204"/>
      <family val="1"/>
      <b val="1"/>
      <color theme="1"/>
      <sz val="10"/>
    </font>
    <font>
      <name val="Times New Roman"/>
      <charset val="204"/>
      <family val="1"/>
      <color theme="1"/>
      <sz val="9"/>
    </font>
    <font>
      <name val="Times New Roman"/>
      <charset val="204"/>
      <family val="1"/>
      <color theme="1"/>
      <sz val="7"/>
    </font>
    <font>
      <name val="Times New Roman"/>
      <charset val="204"/>
      <family val="1"/>
      <color theme="1"/>
      <sz val="8"/>
    </font>
    <font>
      <name val="Times New Roman"/>
      <charset val="204"/>
      <family val="1"/>
      <b val="1"/>
      <color theme="1"/>
      <sz val="9"/>
    </font>
    <font>
      <name val="Times New Roman"/>
      <charset val="204"/>
      <family val="1"/>
      <b val="1"/>
      <color theme="1"/>
      <sz val="9.5"/>
    </font>
    <font>
      <name val="Times New Roman"/>
      <charset val="204"/>
      <family val="1"/>
      <color theme="1"/>
      <sz val="11"/>
    </font>
    <font>
      <name val="Times New Roman"/>
      <charset val="204"/>
      <family val="1"/>
      <b val="1"/>
      <color theme="1"/>
      <sz val="6"/>
    </font>
    <font>
      <name val="Times New Roman"/>
      <charset val="204"/>
      <family val="1"/>
      <color theme="1"/>
      <sz val="9.5"/>
    </font>
    <font>
      <name val="Calibri"/>
      <charset val="204"/>
      <family val="2"/>
      <color theme="1"/>
      <sz val="11"/>
    </font>
    <font>
      <name val="Times New Roman"/>
      <charset val="204"/>
      <family val="1"/>
      <b val="1"/>
      <color theme="1"/>
      <sz val="14"/>
    </font>
    <font>
      <name val="Times New Roman"/>
      <charset val="204"/>
      <family val="1"/>
      <b val="1"/>
      <color rgb="FF000000"/>
      <sz val="10"/>
    </font>
    <font>
      <name val="Calibri"/>
      <charset val="204"/>
      <family val="2"/>
      <sz val="14"/>
      <scheme val="minor"/>
    </font>
    <font>
      <name val="Times New Roman"/>
      <charset val="204"/>
      <family val="1"/>
      <color theme="1"/>
      <sz val="5"/>
    </font>
    <font>
      <name val="Times New Roman"/>
      <charset val="204"/>
      <family val="1"/>
      <color theme="1"/>
      <sz val="12"/>
    </font>
    <font>
      <name val="Times New Roman"/>
      <charset val="204"/>
      <family val="1"/>
      <b val="1"/>
      <color rgb="FF000000"/>
      <sz val="9"/>
    </font>
    <font>
      <name val="Times New Roman"/>
      <charset val="204"/>
      <family val="1"/>
      <color theme="1"/>
      <sz val="6"/>
    </font>
  </fonts>
  <fills count="13">
    <fill>
      <patternFill/>
    </fill>
    <fill>
      <patternFill patternType="gray125"/>
    </fill>
    <fill>
      <patternFill patternType="solid">
        <fgColor rgb="FFFFFFFF"/>
        <bgColor indexed="64"/>
      </patternFill>
    </fill>
    <fill>
      <patternFill patternType="solid">
        <fgColor theme="0" tint="-0.499984740745262"/>
        <bgColor indexed="64"/>
      </patternFill>
    </fill>
    <fill>
      <patternFill patternType="solid">
        <fgColor theme="0"/>
        <bgColor indexed="64"/>
      </patternFill>
    </fill>
    <fill>
      <patternFill patternType="solid">
        <fgColor rgb="FF002060"/>
        <bgColor indexed="64"/>
      </patternFill>
    </fill>
    <fill>
      <patternFill patternType="solid">
        <fgColor rgb="FF3BF7F7"/>
        <bgColor indexed="64"/>
      </patternFill>
    </fill>
    <fill>
      <patternFill patternType="solid">
        <fgColor theme="8"/>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
      <patternFill patternType="solid">
        <fgColor theme="7" tint="-0.249977111117893"/>
        <bgColor indexed="64"/>
      </patternFill>
    </fill>
    <fill>
      <patternFill patternType="solid">
        <fgColor rgb="FFBFBFBF"/>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96">
    <xf numFmtId="0" fontId="0" fillId="0" borderId="0" pivotButton="0" quotePrefix="0" xfId="0"/>
    <xf numFmtId="0" fontId="12" fillId="2" borderId="1" applyAlignment="1" pivotButton="0" quotePrefix="0" xfId="0">
      <alignment horizontal="center" vertical="center" wrapText="1"/>
    </xf>
    <xf numFmtId="0" fontId="1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0" borderId="0" applyProtection="1" pivotButton="0" quotePrefix="0" xfId="0">
      <protection locked="0" hidden="0"/>
    </xf>
    <xf numFmtId="1" fontId="1" fillId="0" borderId="1" applyAlignment="1" applyProtection="1" pivotButton="0" quotePrefix="0" xfId="0">
      <alignment horizontal="center" vertical="center" wrapText="1"/>
      <protection locked="0" hidden="0"/>
    </xf>
    <xf numFmtId="1" fontId="4" fillId="4" borderId="1" applyAlignment="1" applyProtection="1" pivotButton="0" quotePrefix="0" xfId="0">
      <alignment horizontal="center" wrapText="1"/>
      <protection locked="0" hidden="0"/>
    </xf>
    <xf numFmtId="0" fontId="1" fillId="4" borderId="1" applyAlignment="1" applyProtection="1" pivotButton="0" quotePrefix="0" xfId="0">
      <alignment horizontal="center"/>
      <protection locked="0" hidden="0"/>
    </xf>
    <xf numFmtId="1" fontId="8" fillId="4" borderId="1" applyAlignment="1" applyProtection="1" pivotButton="0" quotePrefix="0" xfId="0">
      <alignment horizontal="center" wrapText="1"/>
      <protection locked="0" hidden="0"/>
    </xf>
    <xf numFmtId="1" fontId="6" fillId="0" borderId="1" applyAlignment="1" applyProtection="1" pivotButton="0" quotePrefix="0" xfId="0">
      <alignment horizontal="center" wrapText="1"/>
      <protection locked="0" hidden="0"/>
    </xf>
    <xf numFmtId="1" fontId="5" fillId="0" borderId="1" applyAlignment="1" applyProtection="1" pivotButton="0" quotePrefix="0" xfId="0">
      <alignment horizontal="center" wrapText="1"/>
      <protection locked="0" hidden="0"/>
    </xf>
    <xf numFmtId="1" fontId="8" fillId="0" borderId="1" applyAlignment="1" applyProtection="1" pivotButton="0" quotePrefix="0" xfId="0">
      <alignment horizontal="center" vertical="center" wrapText="1"/>
      <protection locked="0" hidden="0"/>
    </xf>
    <xf numFmtId="1" fontId="11"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protection locked="0" hidden="0"/>
    </xf>
    <xf numFmtId="0" fontId="0" fillId="4" borderId="0" applyAlignment="1" pivotButton="0" quotePrefix="0" xfId="0">
      <alignment horizontal="left" wrapText="1"/>
    </xf>
    <xf numFmtId="0" fontId="12" fillId="0" borderId="1" applyAlignment="1" pivotButton="0" quotePrefix="0" xfId="0">
      <alignment horizontal="center" vertical="center" wrapText="1"/>
    </xf>
    <xf numFmtId="0" fontId="0" fillId="5" borderId="0" pivotButton="0" quotePrefix="0" xfId="0"/>
    <xf numFmtId="0" fontId="0" fillId="0" borderId="0" pivotButton="0" quotePrefix="0" xfId="0"/>
    <xf numFmtId="1" fontId="0" fillId="0" borderId="0" pivotButton="0" quotePrefix="0" xfId="0"/>
    <xf numFmtId="0" fontId="0" fillId="4" borderId="0" pivotButton="0" quotePrefix="0" xfId="0"/>
    <xf numFmtId="0" fontId="7" fillId="0" borderId="1" applyAlignment="1" pivotButton="0" quotePrefix="0" xfId="0">
      <alignment horizontal="center" vertical="center" wrapText="1"/>
    </xf>
    <xf numFmtId="0" fontId="2" fillId="0" borderId="1" applyAlignment="1" pivotButton="0" quotePrefix="0" xfId="0">
      <alignment horizontal="center" vertical="center" wrapText="1"/>
    </xf>
    <xf numFmtId="1" fontId="8" fillId="0" borderId="2" applyAlignment="1" applyProtection="1" pivotButton="0" quotePrefix="0" xfId="0">
      <alignment horizontal="center" vertical="center" wrapText="1"/>
      <protection locked="0" hidden="0"/>
    </xf>
    <xf numFmtId="0" fontId="0" fillId="0" borderId="0" pivotButton="0" quotePrefix="0" xfId="0"/>
    <xf numFmtId="1" fontId="8"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protection locked="0" hidden="0"/>
    </xf>
    <xf numFmtId="1" fontId="8" fillId="4" borderId="1" applyAlignment="1" applyProtection="1" pivotButton="0" quotePrefix="0" xfId="0">
      <alignment horizontal="center" vertical="center" wrapText="1"/>
      <protection locked="0" hidden="0"/>
    </xf>
    <xf numFmtId="1" fontId="11" fillId="4" borderId="1" applyAlignment="1" applyProtection="1" pivotButton="0" quotePrefix="0" xfId="0">
      <alignment horizontal="center" vertical="center" wrapText="1"/>
      <protection locked="0" hidden="0"/>
    </xf>
    <xf numFmtId="1" fontId="8" fillId="3" borderId="1" applyAlignment="1" pivotButton="0" quotePrefix="0" xfId="0">
      <alignment horizontal="center" vertical="center" wrapText="1"/>
    </xf>
    <xf numFmtId="1" fontId="8" fillId="0" borderId="1" applyAlignment="1" pivotButton="0" quotePrefix="0" xfId="0">
      <alignment horizontal="center" vertical="center" wrapText="1"/>
    </xf>
    <xf numFmtId="1" fontId="8"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2" fillId="8" borderId="1" applyAlignment="1" pivotButton="0" quotePrefix="0" xfId="0">
      <alignment horizontal="center" vertical="center" wrapText="1"/>
    </xf>
    <xf numFmtId="0" fontId="8" fillId="0" borderId="0" applyAlignment="1" applyProtection="1" pivotButton="0" quotePrefix="0" xfId="0">
      <alignment horizontal="center" vertical="center"/>
      <protection locked="0" hidden="0"/>
    </xf>
    <xf numFmtId="0" fontId="2"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2" fillId="10" borderId="1" applyAlignment="1" pivotButton="0" quotePrefix="0" xfId="0">
      <alignment horizontal="center" vertical="center" wrapText="1"/>
    </xf>
    <xf numFmtId="1" fontId="17" fillId="0" borderId="1" applyAlignment="1" applyProtection="1" pivotButton="0" quotePrefix="0" xfId="0">
      <alignment horizontal="center" vertical="center" wrapText="1"/>
      <protection locked="0" hidden="0"/>
    </xf>
    <xf numFmtId="49" fontId="0" fillId="0" borderId="0" pivotButton="0" quotePrefix="0" xfId="0"/>
    <xf numFmtId="0" fontId="12" fillId="11" borderId="1" applyAlignment="1" pivotButton="0" quotePrefix="0" xfId="0">
      <alignment horizontal="center" vertical="center" wrapText="1"/>
    </xf>
    <xf numFmtId="0" fontId="2" fillId="11" borderId="1" applyAlignment="1" pivotButton="0" quotePrefix="0" xfId="0">
      <alignment horizontal="center" vertical="center" wrapText="1"/>
    </xf>
    <xf numFmtId="0" fontId="10" fillId="6" borderId="1" applyAlignment="1" pivotButton="0" quotePrefix="0" xfId="0">
      <alignment horizontal="center" vertical="center" wrapText="1"/>
    </xf>
    <xf numFmtId="0" fontId="18" fillId="6" borderId="1" applyAlignment="1" pivotButton="0" quotePrefix="0" xfId="0">
      <alignment horizontal="center" vertical="center" wrapText="1"/>
    </xf>
    <xf numFmtId="0" fontId="2" fillId="0" borderId="1" applyAlignment="1" pivotButton="0" quotePrefix="0" xfId="0">
      <alignment horizontal="left" vertical="center" wrapText="1"/>
    </xf>
    <xf numFmtId="49" fontId="14" fillId="0" borderId="1" applyAlignment="1" applyProtection="1" pivotButton="0" quotePrefix="0" xfId="0">
      <alignment horizontal="center" vertical="center"/>
      <protection locked="0" hidden="0"/>
    </xf>
    <xf numFmtId="0" fontId="2" fillId="10" borderId="1" applyAlignment="1" pivotButton="0" quotePrefix="0" xfId="0">
      <alignment horizontal="left" vertical="center" wrapText="1"/>
    </xf>
    <xf numFmtId="0" fontId="18" fillId="6" borderId="1" applyAlignment="1" pivotButton="0" quotePrefix="0" xfId="0">
      <alignment horizontal="center" vertical="center" wrapText="1"/>
    </xf>
    <xf numFmtId="0" fontId="15" fillId="9" borderId="1" applyAlignment="1" applyProtection="1" pivotButton="0" quotePrefix="0" xfId="0">
      <alignment horizontal="left" vertical="center" wrapText="1"/>
      <protection locked="0" hidden="0"/>
    </xf>
    <xf numFmtId="0" fontId="2" fillId="8" borderId="1" applyAlignment="1" pivotButton="0" quotePrefix="0" xfId="0">
      <alignment horizontal="center" vertical="center" wrapText="1"/>
    </xf>
    <xf numFmtId="0" fontId="2" fillId="4" borderId="0" applyAlignment="1" pivotButton="0" quotePrefix="0" xfId="0">
      <alignment horizontal="center" vertical="center" wrapText="1"/>
    </xf>
    <xf numFmtId="0" fontId="2" fillId="6" borderId="7" applyAlignment="1" pivotButton="0" quotePrefix="0" xfId="0">
      <alignment horizontal="center" vertical="center" wrapText="1"/>
    </xf>
    <xf numFmtId="0" fontId="10" fillId="4" borderId="0" applyAlignment="1" pivotButton="0" quotePrefix="0" xfId="0">
      <alignment horizontal="left" wrapText="1"/>
    </xf>
    <xf numFmtId="0" fontId="16" fillId="4" borderId="6" applyAlignment="1" pivotButton="0" quotePrefix="0" xfId="0">
      <alignment horizontal="center"/>
    </xf>
    <xf numFmtId="0" fontId="19" fillId="4" borderId="8" applyAlignment="1" pivotButton="0" quotePrefix="0" xfId="0">
      <alignment horizontal="center" vertical="center" wrapText="1"/>
    </xf>
    <xf numFmtId="0" fontId="19" fillId="0" borderId="9" applyAlignment="1" pivotButton="0" quotePrefix="0" xfId="0">
      <alignment horizontal="center" vertical="center" wrapText="1"/>
    </xf>
    <xf numFmtId="0" fontId="19" fillId="12" borderId="9" applyAlignment="1" pivotButton="0" quotePrefix="0" xfId="0">
      <alignment horizontal="center" vertical="center" wrapText="1"/>
    </xf>
    <xf numFmtId="0" fontId="19" fillId="4" borderId="9" applyAlignment="1" pivotButton="0" quotePrefix="0" xfId="0">
      <alignment horizontal="center" vertical="center" wrapText="1"/>
    </xf>
    <xf numFmtId="1" fontId="20" fillId="0" borderId="1" applyAlignment="1" applyProtection="1" pivotButton="0" quotePrefix="0" xfId="0">
      <alignment horizontal="center" vertical="center" wrapText="1"/>
      <protection locked="0" hidden="0"/>
    </xf>
    <xf numFmtId="1" fontId="4" fillId="4" borderId="1" applyAlignment="1" applyProtection="1" pivotButton="0" quotePrefix="0" xfId="0">
      <alignment horizontal="center" wrapText="1"/>
      <protection locked="0" hidden="0"/>
    </xf>
    <xf numFmtId="1" fontId="4" fillId="0" borderId="1" applyAlignment="1" applyProtection="1" pivotButton="0" quotePrefix="0" xfId="0">
      <alignment horizontal="center" textRotation="90" wrapText="1"/>
      <protection locked="0" hidden="0"/>
    </xf>
    <xf numFmtId="1" fontId="4" fillId="0" borderId="1" applyAlignment="1" applyProtection="1" pivotButton="0" quotePrefix="0" xfId="0">
      <alignment horizontal="center" vertical="center" wrapText="1"/>
      <protection locked="0" hidden="0"/>
    </xf>
    <xf numFmtId="1" fontId="3" fillId="0" borderId="0" applyAlignment="1" applyProtection="1" pivotButton="0" quotePrefix="0" xfId="0">
      <alignment horizontal="center" wrapText="1"/>
      <protection locked="0" hidden="0"/>
    </xf>
    <xf numFmtId="1" fontId="3" fillId="0" borderId="0" applyAlignment="1" applyProtection="1" pivotButton="0" quotePrefix="0" xfId="0">
      <alignment horizontal="center"/>
      <protection locked="0" hidden="0"/>
    </xf>
    <xf numFmtId="1" fontId="3" fillId="0" borderId="0" applyAlignment="1" applyProtection="1" pivotButton="0" quotePrefix="0" xfId="0">
      <alignment horizontal="center"/>
      <protection locked="0" hidden="0"/>
    </xf>
    <xf numFmtId="1" fontId="4" fillId="4" borderId="1" applyAlignment="1" applyProtection="1" pivotButton="0" quotePrefix="0" xfId="0">
      <alignment horizontal="center" wrapText="1"/>
      <protection locked="0" hidden="0"/>
    </xf>
    <xf numFmtId="1" fontId="4" fillId="0" borderId="1" applyAlignment="1" applyProtection="1" pivotButton="0" quotePrefix="0" xfId="0">
      <alignment horizontal="center" wrapText="1"/>
      <protection locked="0" hidden="0"/>
    </xf>
    <xf numFmtId="1" fontId="4" fillId="0" borderId="1" applyAlignment="1" applyProtection="1" pivotButton="0" quotePrefix="0" xfId="0">
      <alignment horizontal="center" vertical="center" textRotation="90" wrapText="1"/>
      <protection locked="0" hidden="0"/>
    </xf>
    <xf numFmtId="1" fontId="5" fillId="0" borderId="1" applyAlignment="1" applyProtection="1" pivotButton="0" quotePrefix="0" xfId="0">
      <alignment horizontal="center" wrapText="1"/>
      <protection locked="0" hidden="0"/>
    </xf>
    <xf numFmtId="1" fontId="0" fillId="0" borderId="1" applyAlignment="1" applyProtection="1" pivotButton="0" quotePrefix="0" xfId="0">
      <alignment wrapText="1"/>
      <protection locked="0" hidden="0"/>
    </xf>
    <xf numFmtId="0" fontId="10" fillId="0" borderId="0" applyAlignment="1" pivotButton="0" quotePrefix="0" xfId="0">
      <alignment horizontal="center"/>
    </xf>
    <xf numFmtId="0" fontId="4" fillId="0" borderId="3"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5" applyAlignment="1" pivotButton="0" quotePrefix="0" xfId="0">
      <alignment horizontal="center" vertical="center" wrapText="1"/>
    </xf>
    <xf numFmtId="1" fontId="4" fillId="0" borderId="2" applyAlignment="1" applyProtection="1" pivotButton="0" quotePrefix="0" xfId="0">
      <alignment horizontal="center" vertical="center" wrapText="1"/>
      <protection locked="0" hidden="0"/>
    </xf>
    <xf numFmtId="1" fontId="4" fillId="4" borderId="1" applyAlignment="1" applyProtection="1" pivotButton="0" quotePrefix="0" xfId="0">
      <alignment horizontal="center" textRotation="90" wrapText="1"/>
      <protection locked="0" hidden="0"/>
    </xf>
    <xf numFmtId="0" fontId="12" fillId="0" borderId="1" applyAlignment="1" pivotButton="0" quotePrefix="0" xfId="0">
      <alignment horizontal="center" vertical="center" wrapText="1"/>
    </xf>
    <xf numFmtId="0" fontId="0" fillId="0" borderId="11" applyProtection="1" pivotButton="0" quotePrefix="0" xfId="0">
      <protection locked="0" hidden="0"/>
    </xf>
    <xf numFmtId="0" fontId="0" fillId="0" borderId="16" applyProtection="1" pivotButton="0" quotePrefix="0" xfId="0">
      <protection locked="0" hidden="0"/>
    </xf>
    <xf numFmtId="0" fontId="0" fillId="0" borderId="2" applyProtection="1" pivotButton="0" quotePrefix="0" xfId="0">
      <protection locked="0" hidden="0"/>
    </xf>
    <xf numFmtId="0" fontId="0" fillId="0" borderId="14" pivotButton="0" quotePrefix="0" xfId="0"/>
    <xf numFmtId="0" fontId="0" fillId="0" borderId="12" applyProtection="1" pivotButton="0" quotePrefix="0" xfId="0">
      <protection locked="0" hidden="0"/>
    </xf>
    <xf numFmtId="0" fontId="0" fillId="0" borderId="10" applyProtection="1" pivotButton="0" quotePrefix="0" xfId="0">
      <protection locked="0" hidden="0"/>
    </xf>
    <xf numFmtId="0" fontId="0" fillId="0" borderId="14" applyProtection="1" pivotButton="0" quotePrefix="0" xfId="0">
      <protection locked="0" hidden="0"/>
    </xf>
    <xf numFmtId="0" fontId="0" fillId="0" borderId="13" applyProtection="1" pivotButton="0" quotePrefix="0" xfId="0">
      <protection locked="0" hidden="0"/>
    </xf>
    <xf numFmtId="0" fontId="0" fillId="0" borderId="9" applyProtection="1" pivotButton="0" quotePrefix="0" xfId="0">
      <protection locked="0" hidden="0"/>
    </xf>
    <xf numFmtId="0" fontId="0" fillId="0" borderId="8" applyProtection="1" pivotButton="0" quotePrefix="0" xfId="0">
      <protection locked="0" hidden="0"/>
    </xf>
    <xf numFmtId="0" fontId="0" fillId="0" borderId="15" pivotButton="0" quotePrefix="0" xfId="0"/>
    <xf numFmtId="0" fontId="0" fillId="0" borderId="16" pivotButton="0" quotePrefix="0" xfId="0"/>
    <xf numFmtId="0" fontId="0" fillId="0" borderId="2" pivotButton="0" quotePrefix="0" xfId="0"/>
  </cellXfs>
  <cellStyles count="1">
    <cellStyle name="Обычный"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chartsheet" Target="/xl/chartsheets/sheet1.xml" Id="rId1"/><Relationship Type="http://schemas.openxmlformats.org/officeDocument/2006/relationships/worksheet" Target="/xl/worksheets/sheet1.xml" Id="rId2"/><Relationship Type="http://schemas.openxmlformats.org/officeDocument/2006/relationships/worksheet" Target="/xl/worksheets/sheet2.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plotArea>
      <layout/>
      <barChart>
        <barDir val="col"/>
        <grouping val="clustered"/>
        <varyColors val="0"/>
        <ser>
          <idx val="0"/>
          <order val="0"/>
          <tx>
            <strRef>
              <f>Лист1!$B$1:$B$3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Лист1!$B$4:$B$17</f>
              <numCache>
                <formatCode>0</formatCode>
                <ptCount val="14"/>
                <pt idx="0">
                  <v>0</v>
                </pt>
                <pt idx="5">
                  <v>0</v>
                </pt>
              </numCache>
            </numRef>
          </val>
        </ser>
        <ser>
          <idx val="1"/>
          <order val="1"/>
          <tx>
            <strRef>
              <f>Лист1!$C$1:$C$3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Лист1!$C$4:$C$18</f>
              <numCache>
                <formatCode>0</formatCode>
                <ptCount val="15"/>
                <pt idx="0">
                  <v>0</v>
                </pt>
                <pt idx="4">
                  <v>0</v>
                </pt>
                <pt idx="5">
                  <formatCode>General</formatCode>
                  <v>69</v>
                </pt>
              </numCache>
            </numRef>
          </val>
        </ser>
        <ser>
          <idx val="2"/>
          <order val="2"/>
          <tx>
            <strRef>
              <f>Лист1!$D$1:$D$3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Лист1!$D$4:$D$18</f>
              <numCache>
                <formatCode>0</formatCode>
                <ptCount val="15"/>
                <pt idx="4">
                  <v>0</v>
                </pt>
                <pt idx="5">
                  <formatCode>General</formatCode>
                  <v>17</v>
                </pt>
              </numCache>
            </numRef>
          </val>
        </ser>
        <ser>
          <idx val="3"/>
          <order val="3"/>
          <tx>
            <strRef>
              <f>Лист1!$E$1:$E$3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Лист1!$E$4:$E$18</f>
              <numCache>
                <formatCode>0</formatCode>
                <ptCount val="15"/>
                <pt idx="0">
                  <v>0</v>
                </pt>
                <pt idx="5">
                  <v>86</v>
                </pt>
              </numCache>
            </numRef>
          </val>
        </ser>
        <ser>
          <idx val="4"/>
          <order val="4"/>
          <tx>
            <strRef>
              <f>Лист1!$F$1:$F$3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Лист1!$F$4:$F$18</f>
              <numCache>
                <formatCode>0</formatCode>
                <ptCount val="15"/>
                <pt idx="0">
                  <v>0</v>
                </pt>
                <pt idx="1">
                  <v>0</v>
                </pt>
                <pt idx="2">
                  <v>0</v>
                </pt>
                <pt idx="5">
                  <formatCode>General</formatCode>
                  <v>64</v>
                </pt>
              </numCache>
            </numRef>
          </val>
        </ser>
        <ser>
          <idx val="5"/>
          <order val="5"/>
          <tx>
            <strRef>
              <f>Лист1!$G$1:$G$3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Лист1!$G$4:$G$18</f>
              <numCache>
                <formatCode>0</formatCode>
                <ptCount val="15"/>
                <pt idx="2">
                  <v>0</v>
                </pt>
                <pt idx="4">
                  <v>0</v>
                </pt>
                <pt idx="5">
                  <formatCode>General</formatCode>
                  <v>15</v>
                </pt>
              </numCache>
            </numRef>
          </val>
        </ser>
        <ser>
          <idx val="6"/>
          <order val="6"/>
          <tx>
            <strRef>
              <f>Лист1!$H$1:$H$3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Лист1!$H$4:$H$18</f>
              <numCache>
                <formatCode>0</formatCode>
                <ptCount val="15"/>
                <pt idx="4">
                  <v>0</v>
                </pt>
                <pt idx="5">
                  <formatCode>General</formatCode>
                  <v>7</v>
                </pt>
              </numCache>
            </numRef>
          </val>
        </ser>
        <ser>
          <idx val="7"/>
          <order val="7"/>
          <tx>
            <strRef>
              <f>Лист1!$I$1:$I$3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Лист1!$I$4:$I$18</f>
              <numCache>
                <formatCode>0</formatCode>
                <ptCount val="15"/>
                <pt idx="2">
                  <v>0</v>
                </pt>
                <pt idx="5">
                  <formatCode>General</formatCode>
                  <v>9</v>
                </pt>
              </numCache>
            </numRef>
          </val>
        </ser>
        <ser>
          <idx val="8"/>
          <order val="8"/>
          <tx>
            <strRef>
              <f>Лист1!$J$1:$J$3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Лист1!$J$4:$J$18</f>
              <numCache>
                <formatCode>0</formatCode>
                <ptCount val="15"/>
                <pt idx="0">
                  <v>0</v>
                </pt>
                <pt idx="5">
                  <v>73</v>
                </pt>
              </numCache>
            </numRef>
          </val>
        </ser>
        <ser>
          <idx val="9"/>
          <order val="9"/>
          <tx>
            <strRef>
              <f>Лист1!$K$1:$K$3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Лист1!$K$4:$K$18</f>
              <numCache>
                <formatCode>0</formatCode>
                <ptCount val="15"/>
                <pt idx="0">
                  <v>0</v>
                </pt>
                <pt idx="1">
                  <v>0</v>
                </pt>
                <pt idx="4">
                  <v>0</v>
                </pt>
                <pt idx="5">
                  <v>31</v>
                </pt>
              </numCache>
            </numRef>
          </val>
        </ser>
        <ser>
          <idx val="10"/>
          <order val="10"/>
          <tx>
            <strRef>
              <f>Лист1!$L$1:$L$3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Лист1!$L$4:$L$18</f>
              <numCache>
                <formatCode>0</formatCode>
                <ptCount val="15"/>
                <pt idx="3">
                  <v>2</v>
                </pt>
                <pt idx="4">
                  <v>0</v>
                </pt>
                <pt idx="5">
                  <v>8</v>
                </pt>
                <pt idx="8">
                  <formatCode>General</formatCode>
                  <v>0</v>
                </pt>
              </numCache>
            </numRef>
          </val>
        </ser>
        <ser>
          <idx val="11"/>
          <order val="11"/>
          <tx>
            <strRef>
              <f>Лист1!$M$1:$M$3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Лист1!$M$4:$M$18</f>
              <numCache>
                <formatCode>0</formatCode>
                <ptCount val="15"/>
                <pt idx="0">
                  <v>0</v>
                </pt>
                <pt idx="5">
                  <v>39</v>
                </pt>
                <pt idx="7">
                  <formatCode>General</formatCode>
                  <v>0</v>
                </pt>
              </numCache>
            </numRef>
          </val>
        </ser>
        <ser>
          <idx val="12"/>
          <order val="12"/>
          <tx>
            <strRef>
              <f>Лист1!$N$1:$N$3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Лист1!$N$4:$N$18</f>
              <numCache>
                <formatCode>0</formatCode>
                <ptCount val="15"/>
                <pt idx="0">
                  <v>0</v>
                </pt>
                <pt idx="3">
                  <v>3</v>
                </pt>
                <pt idx="4">
                  <v>0</v>
                </pt>
                <pt idx="5">
                  <formatCode>General</formatCode>
                  <v>3</v>
                </pt>
              </numCache>
            </numRef>
          </val>
        </ser>
        <ser>
          <idx val="13"/>
          <order val="13"/>
          <tx>
            <strRef>
              <f>Лист1!$O$1:$O$3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Лист1!$O$4:$O$18</f>
              <numCache>
                <formatCode>0</formatCode>
                <ptCount val="15"/>
                <pt idx="3">
                  <v>4</v>
                </pt>
                <pt idx="4">
                  <v>0</v>
                </pt>
                <pt idx="5">
                  <formatCode>General</formatCode>
                  <v>0</v>
                </pt>
              </numCache>
            </numRef>
          </val>
        </ser>
        <ser>
          <idx val="14"/>
          <order val="14"/>
          <tx>
            <strRef>
              <f>Лист1!$P$1:$P$3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Лист1!$P$4:$P$18</f>
              <numCache>
                <formatCode>0</formatCode>
                <ptCount val="15"/>
                <pt idx="0">
                  <v>0</v>
                </pt>
                <pt idx="3">
                  <v>5</v>
                </pt>
                <pt idx="4">
                  <v>0</v>
                </pt>
                <pt idx="5">
                  <formatCode>General</formatCode>
                  <v>2</v>
                </pt>
              </numCache>
            </numRef>
          </val>
        </ser>
        <ser>
          <idx val="15"/>
          <order val="15"/>
          <tx>
            <strRef>
              <f>Лист1!$Q$1:$Q$3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Лист1!$Q$4:$Q$18</f>
              <numCache>
                <formatCode>0</formatCode>
                <ptCount val="15"/>
                <pt idx="3">
                  <v>6</v>
                </pt>
                <pt idx="4">
                  <v>0</v>
                </pt>
                <pt idx="5">
                  <formatCode>General</formatCode>
                  <v>0</v>
                </pt>
              </numCache>
            </numRef>
          </val>
        </ser>
        <ser>
          <idx val="16"/>
          <order val="16"/>
          <tx>
            <strRef>
              <f>Лист1!$R$1:$R$3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Лист1!$R$4:$R$18</f>
              <numCache>
                <formatCode>0</formatCode>
                <ptCount val="15"/>
                <pt idx="0">
                  <v>0</v>
                </pt>
                <pt idx="3">
                  <v>7</v>
                </pt>
                <pt idx="4">
                  <v>0</v>
                </pt>
                <pt idx="5">
                  <formatCode>General</formatCode>
                  <v>9</v>
                </pt>
              </numCache>
            </numRef>
          </val>
        </ser>
        <ser>
          <idx val="17"/>
          <order val="17"/>
          <tx>
            <strRef>
              <f>Лист1!$S$1:$S$3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Лист1!$S$4:$S$18</f>
              <numCache>
                <formatCode>0</formatCode>
                <ptCount val="15"/>
                <pt idx="3">
                  <v>8</v>
                </pt>
                <pt idx="4">
                  <v>0</v>
                </pt>
                <pt idx="5">
                  <formatCode>General</formatCode>
                  <v>0</v>
                </pt>
              </numCache>
            </numRef>
          </val>
        </ser>
        <ser>
          <idx val="18"/>
          <order val="18"/>
          <tx>
            <strRef>
              <f>Лист1!$T$1:$T$3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Лист1!$T$4:$T$18</f>
              <numCache>
                <formatCode>0</formatCode>
                <ptCount val="15"/>
                <pt idx="0">
                  <v>0</v>
                </pt>
                <pt idx="3">
                  <v>9</v>
                </pt>
                <pt idx="4">
                  <v>0</v>
                </pt>
                <pt idx="5">
                  <formatCode>General</formatCode>
                  <v>4</v>
                </pt>
              </numCache>
            </numRef>
          </val>
        </ser>
        <ser>
          <idx val="19"/>
          <order val="19"/>
          <tx>
            <strRef>
              <f>Лист1!$U$1:$U$3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Лист1!$U$4:$U$18</f>
              <numCache>
                <formatCode>0</formatCode>
                <ptCount val="15"/>
                <pt idx="3">
                  <v>10</v>
                </pt>
                <pt idx="4">
                  <v>0</v>
                </pt>
                <pt idx="5">
                  <formatCode>General</formatCode>
                  <v>0</v>
                </pt>
              </numCache>
            </numRef>
          </val>
        </ser>
        <ser>
          <idx val="20"/>
          <order val="20"/>
          <tx>
            <strRef>
              <f>Лист1!$V$1:$V$3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Лист1!$V$4:$V$18</f>
              <numCache>
                <formatCode>0</formatCode>
                <ptCount val="15"/>
                <pt idx="0">
                  <v>0</v>
                </pt>
                <pt idx="3">
                  <v>11</v>
                </pt>
                <pt idx="4">
                  <v>0</v>
                </pt>
                <pt idx="5">
                  <formatCode>General</formatCode>
                  <v>0</v>
                </pt>
              </numCache>
            </numRef>
          </val>
        </ser>
        <ser>
          <idx val="21"/>
          <order val="21"/>
          <tx>
            <strRef>
              <f>Лист1!$W$1:$W$3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Лист1!$W$4:$W$18</f>
              <numCache>
                <formatCode>0</formatCode>
                <ptCount val="15"/>
                <pt idx="3">
                  <v>12</v>
                </pt>
                <pt idx="4">
                  <v>0</v>
                </pt>
                <pt idx="5">
                  <formatCode>General</formatCode>
                  <v>0</v>
                </pt>
              </numCache>
            </numRef>
          </val>
        </ser>
        <ser>
          <idx val="22"/>
          <order val="22"/>
          <tx>
            <strRef>
              <f>Лист1!$X$1:$X$3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Лист1!$X$4:$X$18</f>
              <numCache>
                <formatCode>0</formatCode>
                <ptCount val="15"/>
                <pt idx="0">
                  <v>0</v>
                </pt>
                <pt idx="3">
                  <v>13</v>
                </pt>
                <pt idx="4">
                  <v>0</v>
                </pt>
                <pt idx="5">
                  <formatCode>General</formatCode>
                  <v>0</v>
                </pt>
              </numCache>
            </numRef>
          </val>
        </ser>
        <ser>
          <idx val="23"/>
          <order val="23"/>
          <tx>
            <strRef>
              <f>Лист1!$Y$1:$Y$3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Лист1!$Y$4:$Y$18</f>
              <numCache>
                <formatCode>0</formatCode>
                <ptCount val="15"/>
                <pt idx="3">
                  <v>14</v>
                </pt>
                <pt idx="4">
                  <v>0</v>
                </pt>
                <pt idx="5">
                  <formatCode>General</formatCode>
                  <v>0</v>
                </pt>
              </numCache>
            </numRef>
          </val>
        </ser>
        <ser>
          <idx val="24"/>
          <order val="24"/>
          <tx>
            <strRef>
              <f>Лист1!$Z$1:$Z$3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Лист1!$Z$4:$Z$18</f>
              <numCache>
                <formatCode>0</formatCode>
                <ptCount val="15"/>
                <pt idx="0">
                  <v>0</v>
                </pt>
                <pt idx="3">
                  <v>15</v>
                </pt>
                <pt idx="4">
                  <v>0</v>
                </pt>
                <pt idx="5">
                  <formatCode>General</formatCode>
                  <v>0</v>
                </pt>
              </numCache>
            </numRef>
          </val>
        </ser>
        <ser>
          <idx val="25"/>
          <order val="25"/>
          <tx>
            <strRef>
              <f>Лист1!$AA$1:$AA$3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Лист1!$AA$4:$AA$18</f>
              <numCache>
                <formatCode>0</formatCode>
                <ptCount val="15"/>
                <pt idx="3">
                  <v>16</v>
                </pt>
                <pt idx="4">
                  <v>0</v>
                </pt>
                <pt idx="5">
                  <formatCode>General</formatCode>
                  <v>1</v>
                </pt>
              </numCache>
            </numRef>
          </val>
        </ser>
        <ser>
          <idx val="26"/>
          <order val="26"/>
          <tx>
            <strRef>
              <f>Лист1!$AB$1:$AB$3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Лист1!$AB$4:$AB$18</f>
              <numCache>
                <formatCode>0</formatCode>
                <ptCount val="15"/>
                <pt idx="0">
                  <v>0</v>
                </pt>
                <pt idx="3">
                  <v>17</v>
                </pt>
              </numCache>
            </numRef>
          </val>
        </ser>
        <ser>
          <idx val="27"/>
          <order val="27"/>
          <tx>
            <strRef>
              <f>Лист1!$AC$1:$AC$3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Лист1!$AC$4:$AC$18</f>
              <numCache>
                <formatCode>0</formatCode>
                <ptCount val="15"/>
                <pt idx="0">
                  <v>0</v>
                </pt>
                <pt idx="3">
                  <v>18</v>
                </pt>
              </numCache>
            </numRef>
          </val>
        </ser>
        <ser>
          <idx val="28"/>
          <order val="28"/>
          <tx>
            <strRef>
              <f>Лист1!$AD$1:$AD$3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Лист1!$AD$4:$AD$18</f>
              <numCache>
                <formatCode>0</formatCode>
                <ptCount val="15"/>
                <pt idx="0">
                  <v>0</v>
                </pt>
                <pt idx="3">
                  <v>19</v>
                </pt>
                <pt idx="5">
                  <v>15</v>
                </pt>
              </numCache>
            </numRef>
          </val>
        </ser>
        <ser>
          <idx val="29"/>
          <order val="29"/>
          <tx>
            <strRef>
              <f>Лист1!$AE$1:$AE$3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Лист1!$AE$4:$AE$18</f>
              <numCache>
                <formatCode>0</formatCode>
                <ptCount val="15"/>
                <pt idx="0">
                  <v>0</v>
                </pt>
                <pt idx="3">
                  <v>20</v>
                </pt>
                <pt idx="5">
                  <v>0</v>
                </pt>
              </numCache>
            </numRef>
          </val>
        </ser>
        <ser>
          <idx val="30"/>
          <order val="30"/>
          <tx>
            <strRef>
              <f>Лист1!$AF$1:$AF$3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Лист1!$AF$4:$AF$18</f>
              <numCache>
                <formatCode>0</formatCode>
                <ptCount val="15"/>
                <pt idx="0">
                  <v>0</v>
                </pt>
                <pt idx="3">
                  <formatCode>General</formatCode>
                  <v>21</v>
                </pt>
              </numCache>
            </numRef>
          </val>
        </ser>
        <ser>
          <idx val="31"/>
          <order val="31"/>
          <tx>
            <strRef>
              <f>Лист1!$AG$1:$AG$3</f>
              <strCache>
                <ptCount val="3"/>
                <pt idx="0">
                  <v xml:space="preserve">Строевая записка 
Ногинского спасательного центра на 19 мая 2026 года 
</v>
                </pt>
              </strCache>
            </strRef>
          </tx>
          <spPr>
            <a:ln xmlns:a="http://schemas.openxmlformats.org/drawingml/2006/main">
              <a:prstDash val="solid"/>
            </a:ln>
          </spPr>
          <invertIfNegative val="0"/>
          <cat>
            <strRef>
              <f>Лист1!$A$4:$A$18</f>
              <strCache>
                <ptCount val="8"/>
                <pt idx="0">
                  <v>Отметка о внесенных изменениях</v>
                </pt>
                <pt idx="5">
                  <v>+</v>
                </pt>
                <pt idx="7">
                  <v>
</v>
                </pt>
              </strCache>
            </strRef>
          </cat>
          <val>
            <numRef>
              <f>Лист1!$AG$4:$AG$18</f>
              <numCache>
                <formatCode>0</formatCode>
                <ptCount val="15"/>
                <pt idx="0">
                  <v>0</v>
                </pt>
                <pt idx="3">
                  <formatCode>General</formatCode>
                  <v>22</v>
                </pt>
              </numCache>
            </numRef>
          </val>
        </ser>
        <dLbls>
          <showLegendKey val="0"/>
          <showVal val="0"/>
          <showCatName val="0"/>
          <showSerName val="0"/>
          <showPercent val="0"/>
          <showBubbleSize val="0"/>
        </dLbls>
        <gapWidth val="150"/>
        <axId val="100569472"/>
        <axId val="100571008"/>
      </barChart>
      <catAx>
        <axId val="100569472"/>
        <scaling>
          <orientation val="minMax"/>
        </scaling>
        <delete val="0"/>
        <axPos val="b"/>
        <numFmt formatCode="General" sourceLinked="0"/>
        <majorTickMark val="out"/>
        <minorTickMark val="none"/>
        <tickLblPos val="nextTo"/>
        <crossAx val="100571008"/>
        <crosses val="autoZero"/>
        <auto val="1"/>
        <lblAlgn val="ctr"/>
        <lblOffset val="100"/>
        <noMultiLvlLbl val="0"/>
      </catAx>
      <valAx>
        <axId val="100571008"/>
        <scaling>
          <orientation val="minMax"/>
        </scaling>
        <delete val="0"/>
        <axPos val="l"/>
        <majorGridlines/>
        <numFmt formatCode="0" sourceLinked="1"/>
        <majorTickMark val="out"/>
        <minorTickMark val="none"/>
        <tickLblPos val="nextTo"/>
        <crossAx val="100569472"/>
        <crosses val="autoZero"/>
        <crossBetween val="between"/>
      </valAx>
    </plotArea>
    <legend>
      <legendPos val="r"/>
      <overlay val="0"/>
    </legend>
    <plotVisOnly val="1"/>
    <dispBlanksAs val="gap"/>
  </chart>
</chartSpace>
</file>

<file path=xl/chartsheets/_rels/sheet1.xml.rels><Relationships xmlns="http://schemas.openxmlformats.org/package/2006/relationships"><Relationship Type="http://schemas.openxmlformats.org/officeDocument/2006/relationships/drawing" Target="/xl/drawings/drawing1.xml" Id="rId1"/></Relationships>
</file>

<file path=xl/chartsheets/sheet1.xml><?xml version="1.0" encoding="utf-8"?>
<chartsheet xmlns="http://schemas.openxmlformats.org/spreadsheetml/2006/main">
  <sheetPr/>
  <sheetViews>
    <sheetView zoomScale="115" workbookViewId="0" zoomToFit="1"/>
  </sheetViews>
  <pageMargins left="0.7" right="0.7" top="0.75" bottom="0.75" header="0.3" footer="0.3"/>
  <drawing xmlns:r="http://schemas.openxmlformats.org/officeDocument/2006/relationships" r:id="rId1"/>
</chartsheet>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absoluteAnchor>
    <pos x="0" y="0"/>
    <ext cx="0" cy="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absoluteAnchor>
</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I20"/>
  <sheetViews>
    <sheetView tabSelected="1" view="pageBreakPreview" zoomScale="70" zoomScaleNormal="124" zoomScaleSheetLayoutView="70" workbookViewId="0">
      <selection activeCell="T9" sqref="T9"/>
    </sheetView>
  </sheetViews>
  <sheetFormatPr baseColWidth="8" defaultRowHeight="15"/>
  <cols>
    <col width="11.85546875" customWidth="1" style="25" min="1" max="1"/>
    <col width="14.42578125" customWidth="1" style="25" min="2" max="2"/>
    <col width="6.42578125" customWidth="1" style="25" min="3" max="4"/>
    <col width="6.85546875" customWidth="1" style="25" min="5" max="5"/>
    <col width="6.42578125" customWidth="1" style="25" min="6" max="6"/>
    <col width="6.140625" customWidth="1" style="25" min="7" max="7"/>
    <col width="7" customWidth="1" style="25" min="8" max="8"/>
    <col width="7.42578125" customWidth="1" style="25" min="9" max="9"/>
    <col width="6.42578125" customWidth="1" style="25" min="10" max="10"/>
    <col width="7.42578125" customWidth="1" style="25" min="11" max="11"/>
    <col width="7" customWidth="1" style="25" min="12" max="12"/>
    <col width="7.42578125" customWidth="1" style="25" min="13" max="13"/>
    <col width="7.140625" customWidth="1" style="25" min="14" max="14"/>
    <col width="7.42578125" customWidth="1" style="25" min="15" max="15"/>
    <col width="7.140625" customWidth="1" style="25" min="16" max="16"/>
    <col width="7" customWidth="1" style="25" min="17" max="17"/>
    <col width="8" customWidth="1" style="25" min="18" max="19"/>
    <col width="7.42578125" customWidth="1" style="25" min="20" max="21"/>
    <col width="7.85546875" customWidth="1" style="25" min="22" max="22"/>
    <col width="8.42578125" customWidth="1" style="25" min="23" max="23"/>
    <col width="8" customWidth="1" style="25" min="24" max="24"/>
    <col width="7.42578125" customWidth="1" style="25" min="25" max="25"/>
    <col width="7.85546875" customWidth="1" style="25" min="26" max="26"/>
    <col width="7.42578125" customWidth="1" style="25" min="27" max="27"/>
    <col width="4.42578125" customWidth="1" style="25" min="28" max="28"/>
    <col width="9.42578125" customWidth="1" style="25" min="29" max="29"/>
    <col width="5.42578125" customWidth="1" style="25" min="30" max="30"/>
    <col width="4.42578125" customWidth="1" style="25" min="32" max="32"/>
  </cols>
  <sheetData>
    <row r="1">
      <c r="B1" s="68" t="inlineStr">
        <is>
          <t xml:space="preserve">Строевая записка 
Ногинского спасательного центра на 02.06.2026 </t>
        </is>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row>
    <row r="2">
      <c r="B2" s="6" t="n"/>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c r="AA2" s="6" t="n"/>
      <c r="AB2" s="6" t="n"/>
      <c r="AC2" s="6" t="n"/>
      <c r="AD2" s="6" t="n"/>
      <c r="AE2" s="6" t="n"/>
      <c r="AF2" s="6" t="n"/>
      <c r="AG2" s="6" t="n"/>
    </row>
    <row r="3" ht="15.75" customHeight="1" s="25" thickBot="1">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c r="AA3" s="6" t="n"/>
      <c r="AB3" s="6" t="n"/>
      <c r="AC3" s="6" t="n"/>
      <c r="AD3" s="6" t="n"/>
      <c r="AE3" s="6" t="n"/>
      <c r="AF3" s="6" t="n"/>
      <c r="AG3" s="6" t="n"/>
    </row>
    <row r="4" ht="15.75" customHeight="1" s="25" thickBot="1">
      <c r="A4" s="77" t="inlineStr">
        <is>
          <t>Отметка о внесенных изменениях</t>
        </is>
      </c>
      <c r="B4" s="80" t="inlineStr">
        <is>
          <t>Подразделение</t>
        </is>
      </c>
      <c r="C4" s="71" t="inlineStr">
        <is>
          <t>по штату</t>
        </is>
      </c>
      <c r="D4" s="83" t="n"/>
      <c r="E4" s="81" t="inlineStr">
        <is>
          <t>всего</t>
        </is>
      </c>
      <c r="F4" s="72" t="inlineStr">
        <is>
          <t xml:space="preserve">по </t>
        </is>
      </c>
      <c r="G4" s="84" t="n"/>
      <c r="H4" s="84" t="n"/>
      <c r="I4" s="85" t="n"/>
      <c r="J4" s="73" t="inlineStr">
        <is>
          <t>всего</t>
        </is>
      </c>
      <c r="K4" s="72" t="inlineStr">
        <is>
          <t>на</t>
        </is>
      </c>
      <c r="L4" s="85" t="n"/>
      <c r="M4" s="73" t="inlineStr">
        <is>
          <t>всего</t>
        </is>
      </c>
      <c r="N4" s="67" t="inlineStr">
        <is>
          <t>наряд</t>
        </is>
      </c>
      <c r="O4" s="83" t="n"/>
      <c r="P4" s="67" t="inlineStr">
        <is>
          <t>ком-ка</t>
        </is>
      </c>
      <c r="Q4" s="83" t="n"/>
      <c r="R4" s="67" t="inlineStr">
        <is>
          <t>отпуск</t>
        </is>
      </c>
      <c r="S4" s="83" t="n"/>
      <c r="T4" s="67" t="inlineStr">
        <is>
          <t>выходной</t>
        </is>
      </c>
      <c r="U4" s="83" t="n"/>
      <c r="V4" s="67" t="inlineStr">
        <is>
          <t>выезд</t>
        </is>
      </c>
      <c r="W4" s="83" t="n"/>
      <c r="X4" s="67" t="inlineStr">
        <is>
          <t>госп/санчасть</t>
        </is>
      </c>
      <c r="Y4" s="83" t="n"/>
      <c r="Z4" s="67" t="inlineStr">
        <is>
          <t>освобождение по болезни</t>
        </is>
      </c>
      <c r="AA4" s="83" t="n"/>
      <c r="AB4" s="66" t="inlineStr">
        <is>
          <t>приком (сумма)</t>
        </is>
      </c>
      <c r="AC4" s="66" t="inlineStr">
        <is>
          <t>приком (люди)</t>
        </is>
      </c>
      <c r="AD4" s="66" t="inlineStr">
        <is>
          <t>Отком (сумма)</t>
        </is>
      </c>
      <c r="AE4" s="66" t="inlineStr">
        <is>
          <t>Отком (люди)</t>
        </is>
      </c>
      <c r="AF4" s="66" t="inlineStr">
        <is>
          <t>в расп (сумма)</t>
        </is>
      </c>
      <c r="AG4" s="66" t="inlineStr">
        <is>
          <t>в расп (люди)</t>
        </is>
      </c>
    </row>
    <row r="5" ht="15.75" customHeight="1" s="25" thickBot="1">
      <c r="A5" s="86" t="n"/>
      <c r="B5" s="87" t="n"/>
      <c r="C5" s="88" t="n"/>
      <c r="D5" s="87" t="n"/>
      <c r="E5" s="89" t="n"/>
      <c r="F5" s="72" t="inlineStr">
        <is>
          <t>списку</t>
        </is>
      </c>
      <c r="G5" s="84" t="n"/>
      <c r="H5" s="84" t="n"/>
      <c r="I5" s="85" t="n"/>
      <c r="J5" s="89" t="n"/>
      <c r="K5" s="72" t="inlineStr">
        <is>
          <t xml:space="preserve"> лицо</t>
        </is>
      </c>
      <c r="L5" s="85" t="n"/>
      <c r="M5" s="89" t="n"/>
      <c r="N5" s="88" t="n"/>
      <c r="O5" s="87" t="n"/>
      <c r="P5" s="88" t="n"/>
      <c r="Q5" s="87" t="n"/>
      <c r="R5" s="88" t="n"/>
      <c r="S5" s="87" t="n"/>
      <c r="T5" s="88" t="n"/>
      <c r="U5" s="87" t="n"/>
      <c r="V5" s="88" t="n"/>
      <c r="W5" s="87" t="n"/>
      <c r="X5" s="88" t="n"/>
      <c r="Y5" s="87" t="n"/>
      <c r="Z5" s="88" t="n"/>
      <c r="AA5" s="87" t="n"/>
      <c r="AB5" s="89" t="n"/>
      <c r="AC5" s="89" t="n"/>
      <c r="AD5" s="89" t="n"/>
      <c r="AE5" s="89" t="n"/>
      <c r="AF5" s="89" t="n"/>
      <c r="AG5" s="89" t="n"/>
    </row>
    <row r="6" ht="15" customHeight="1" s="25" thickBot="1">
      <c r="A6" s="86" t="n"/>
      <c r="B6" s="87" t="n"/>
      <c r="C6" s="88" t="n"/>
      <c r="D6" s="87" t="n"/>
      <c r="E6" s="89" t="n"/>
      <c r="F6" s="74" t="inlineStr">
        <is>
          <t>в/с</t>
        </is>
      </c>
      <c r="G6" s="72" t="inlineStr">
        <is>
          <t xml:space="preserve"> из них:</t>
        </is>
      </c>
      <c r="H6" s="83" t="n"/>
      <c r="I6" s="74" t="inlineStr">
        <is>
          <t>г/п</t>
        </is>
      </c>
      <c r="J6" s="89" t="n"/>
      <c r="K6" s="75" t="n"/>
      <c r="L6" s="85" t="n"/>
      <c r="M6" s="89" t="n"/>
      <c r="N6" s="90" t="n"/>
      <c r="O6" s="91" t="n"/>
      <c r="P6" s="90" t="n"/>
      <c r="Q6" s="91" t="n"/>
      <c r="R6" s="90" t="n"/>
      <c r="S6" s="91" t="n"/>
      <c r="T6" s="90" t="n"/>
      <c r="U6" s="91" t="n"/>
      <c r="V6" s="90" t="n"/>
      <c r="W6" s="91" t="n"/>
      <c r="X6" s="90" t="n"/>
      <c r="Y6" s="91" t="n"/>
      <c r="Z6" s="90" t="n"/>
      <c r="AA6" s="91" t="n"/>
      <c r="AB6" s="92" t="n"/>
      <c r="AC6" s="92" t="n"/>
      <c r="AD6" s="92" t="n"/>
      <c r="AE6" s="92" t="n"/>
      <c r="AF6" s="92" t="n"/>
      <c r="AG6" s="92" t="n"/>
    </row>
    <row r="7" ht="15.75" customHeight="1" s="25" thickBot="1">
      <c r="A7" s="86" t="n"/>
      <c r="B7" s="87" t="n"/>
      <c r="C7" s="90" t="n"/>
      <c r="D7" s="91" t="n"/>
      <c r="E7" s="89" t="n"/>
      <c r="F7" s="89" t="n"/>
      <c r="G7" s="90" t="n"/>
      <c r="H7" s="91" t="n"/>
      <c r="I7" s="89" t="n"/>
      <c r="J7" s="89" t="n"/>
      <c r="K7" s="7" t="n"/>
      <c r="L7" s="7" t="n">
        <v>2</v>
      </c>
      <c r="M7" s="89" t="n"/>
      <c r="N7" s="71" t="n">
        <v>3</v>
      </c>
      <c r="O7" s="71" t="n">
        <v>4</v>
      </c>
      <c r="P7" s="71" t="n">
        <v>5</v>
      </c>
      <c r="Q7" s="71" t="n">
        <v>6</v>
      </c>
      <c r="R7" s="71" t="n">
        <v>7</v>
      </c>
      <c r="S7" s="71" t="n">
        <v>8</v>
      </c>
      <c r="T7" s="71" t="n">
        <v>9</v>
      </c>
      <c r="U7" s="71" t="n">
        <v>10</v>
      </c>
      <c r="V7" s="71" t="n">
        <v>11</v>
      </c>
      <c r="W7" s="71" t="n">
        <v>12</v>
      </c>
      <c r="X7" s="71" t="n">
        <v>13</v>
      </c>
      <c r="Y7" s="71" t="n">
        <v>14</v>
      </c>
      <c r="Z7" s="71" t="n">
        <v>15</v>
      </c>
      <c r="AA7" s="71" t="n">
        <v>16</v>
      </c>
      <c r="AB7" s="71" t="n">
        <v>17</v>
      </c>
      <c r="AC7" s="71" t="n">
        <v>18</v>
      </c>
      <c r="AD7" s="71" t="n">
        <v>19</v>
      </c>
      <c r="AE7" s="71" t="n">
        <v>20</v>
      </c>
      <c r="AF7" s="9" t="n">
        <v>21</v>
      </c>
      <c r="AG7" s="9" t="n">
        <v>22</v>
      </c>
    </row>
    <row r="8" ht="15.75" customHeight="1" s="25" thickBot="1">
      <c r="A8" s="93" t="n"/>
      <c r="B8" s="91" t="n"/>
      <c r="C8" s="10" t="inlineStr">
        <is>
          <t>в/с</t>
        </is>
      </c>
      <c r="D8" s="10" t="inlineStr">
        <is>
          <t>г/п</t>
        </is>
      </c>
      <c r="E8" s="92" t="n"/>
      <c r="F8" s="92" t="n"/>
      <c r="G8" s="11" t="inlineStr">
        <is>
          <t>сроч</t>
        </is>
      </c>
      <c r="H8" s="11" t="inlineStr">
        <is>
          <t>жен</t>
        </is>
      </c>
      <c r="I8" s="92" t="n"/>
      <c r="J8" s="92" t="n"/>
      <c r="K8" s="74" t="inlineStr">
        <is>
          <t>в/с</t>
        </is>
      </c>
      <c r="L8" s="74" t="inlineStr">
        <is>
          <t>г/п</t>
        </is>
      </c>
      <c r="M8" s="92" t="n"/>
      <c r="N8" s="74" t="inlineStr">
        <is>
          <t>в/с</t>
        </is>
      </c>
      <c r="O8" s="74" t="inlineStr">
        <is>
          <t>г/п</t>
        </is>
      </c>
      <c r="P8" s="74" t="inlineStr">
        <is>
          <t>в/с</t>
        </is>
      </c>
      <c r="Q8" s="74" t="inlineStr">
        <is>
          <t>г/п</t>
        </is>
      </c>
      <c r="R8" s="74" t="inlineStr">
        <is>
          <t>в/с</t>
        </is>
      </c>
      <c r="S8" s="74" t="inlineStr">
        <is>
          <t>г/п</t>
        </is>
      </c>
      <c r="T8" s="74" t="inlineStr">
        <is>
          <t>в/с</t>
        </is>
      </c>
      <c r="U8" s="74" t="inlineStr">
        <is>
          <t>г/п</t>
        </is>
      </c>
      <c r="V8" s="74" t="inlineStr">
        <is>
          <t>в/с</t>
        </is>
      </c>
      <c r="W8" s="74" t="inlineStr">
        <is>
          <t>г/п</t>
        </is>
      </c>
      <c r="X8" s="74" t="inlineStr">
        <is>
          <t>в/с</t>
        </is>
      </c>
      <c r="Y8" s="74" t="inlineStr">
        <is>
          <t>г/п</t>
        </is>
      </c>
      <c r="Z8" s="74" t="inlineStr">
        <is>
          <t>в/с</t>
        </is>
      </c>
      <c r="AA8" s="74" t="inlineStr">
        <is>
          <t>г/п</t>
        </is>
      </c>
      <c r="AB8" s="26" t="n"/>
      <c r="AC8" s="14" t="n"/>
      <c r="AD8" s="26" t="n"/>
      <c r="AE8" s="14" t="n"/>
      <c r="AF8" s="27" t="n"/>
      <c r="AG8" s="27" t="n"/>
    </row>
    <row r="9" ht="30.75" customHeight="1" s="25" thickBot="1">
      <c r="A9" s="51" t="inlineStr">
        <is>
          <t>+</t>
        </is>
      </c>
      <c r="B9" s="24" t="inlineStr">
        <is>
          <t>1125 Ц(РХБЗ)</t>
        </is>
      </c>
      <c r="C9" s="60" t="n">
        <v>69</v>
      </c>
      <c r="D9" s="61" t="n">
        <v>17</v>
      </c>
      <c r="E9" s="28">
        <f>SUM(C9,D9)</f>
        <v/>
      </c>
      <c r="F9" s="60" t="n">
        <v>64</v>
      </c>
      <c r="G9" s="62" t="n">
        <v>15</v>
      </c>
      <c r="H9" s="62" t="n">
        <v>7</v>
      </c>
      <c r="I9" s="61" t="n">
        <v>9</v>
      </c>
      <c r="J9" s="26">
        <f>SUM(F9+I9)</f>
        <v/>
      </c>
      <c r="K9" s="30" t="n">
        <v>42</v>
      </c>
      <c r="L9" s="32" t="n">
        <v>0</v>
      </c>
      <c r="M9" s="32">
        <f>L9+K9</f>
        <v/>
      </c>
      <c r="N9" s="60" t="n">
        <v>1</v>
      </c>
      <c r="O9" s="61" t="n">
        <v>0</v>
      </c>
      <c r="P9" s="63" t="n">
        <v>3</v>
      </c>
      <c r="Q9" s="61" t="n">
        <v>0</v>
      </c>
      <c r="R9" s="63" t="n">
        <v>1</v>
      </c>
      <c r="S9" s="61" t="n">
        <v>0</v>
      </c>
      <c r="T9" s="63" t="n">
        <v>2</v>
      </c>
      <c r="U9" s="61" t="n">
        <v>0</v>
      </c>
      <c r="V9" s="63" t="n">
        <v>0</v>
      </c>
      <c r="W9" s="61" t="n">
        <v>0</v>
      </c>
      <c r="X9" s="63" t="n">
        <v>0</v>
      </c>
      <c r="Y9" s="61" t="n">
        <v>0</v>
      </c>
      <c r="Z9" s="63" t="n">
        <v>0</v>
      </c>
      <c r="AA9" s="61" t="n">
        <v>1</v>
      </c>
      <c r="AB9" s="26" t="n"/>
      <c r="AC9" s="29" t="n"/>
      <c r="AD9" s="28" t="n">
        <v>15</v>
      </c>
      <c r="AE9" s="64" t="inlineStr">
        <is>
          <t xml:space="preserve">10 - 334 УТЦ                   5 - 46 КЦ                  </t>
        </is>
      </c>
      <c r="AF9" s="27" t="n"/>
      <c r="AG9" s="44" t="n"/>
    </row>
    <row r="10" ht="21" customHeight="1" s="25">
      <c r="A10" s="59" t="n"/>
      <c r="B10" s="58" t="n"/>
      <c r="C10" s="59" t="n"/>
      <c r="D10" s="59" t="n"/>
      <c r="E10" s="59" t="n"/>
      <c r="F10" s="59" t="n"/>
      <c r="G10" s="59" t="n"/>
      <c r="H10" s="59" t="n"/>
      <c r="I10" s="59" t="n"/>
      <c r="J10" s="59" t="n"/>
      <c r="K10" s="59" t="n"/>
      <c r="L10" s="59" t="n"/>
      <c r="M10" s="20" t="n"/>
    </row>
    <row r="11" ht="21" customHeight="1" s="25">
      <c r="A11" s="58" t="inlineStr">
        <is>
          <t xml:space="preserve">
</t>
        </is>
      </c>
      <c r="B11" s="58" t="n"/>
      <c r="C11" s="58" t="n"/>
      <c r="D11" s="58" t="n"/>
      <c r="E11" s="58" t="n"/>
      <c r="F11" s="58" t="n"/>
      <c r="G11" s="58" t="n"/>
      <c r="H11" s="58" t="n"/>
      <c r="I11" s="58" t="n"/>
      <c r="J11" s="58" t="n"/>
      <c r="K11" s="58" t="n"/>
      <c r="L11" s="16" t="n"/>
      <c r="M11" s="76" t="inlineStr">
        <is>
          <t xml:space="preserve">        Начальник штаба 1125 Центра (РХБЗ)</t>
        </is>
      </c>
    </row>
    <row r="12" ht="18.75" customHeight="1" s="25">
      <c r="A12" s="58" t="n"/>
      <c r="B12" s="58" t="n"/>
      <c r="C12" s="58" t="n"/>
      <c r="D12" s="58" t="n"/>
      <c r="E12" s="58" t="n"/>
      <c r="F12" s="58" t="n"/>
      <c r="G12" s="58" t="n"/>
      <c r="H12" s="58" t="n"/>
      <c r="I12" s="58" t="n"/>
      <c r="J12" s="58" t="n"/>
      <c r="K12" s="58" t="n"/>
      <c r="L12" s="76" t="inlineStr">
        <is>
          <t xml:space="preserve">               майор                                                    Л.Р. Хайбрахманов  </t>
        </is>
      </c>
    </row>
    <row r="13" ht="21" customHeight="1" s="25">
      <c r="A13" s="58" t="n"/>
      <c r="B13" s="58" t="n"/>
      <c r="C13" s="58" t="n"/>
      <c r="D13" s="58" t="n"/>
      <c r="E13" s="58" t="n"/>
      <c r="F13" s="58" t="n"/>
      <c r="G13" s="58" t="n"/>
      <c r="H13" s="58" t="n"/>
      <c r="I13" s="58" t="n"/>
      <c r="J13" s="58" t="n"/>
      <c r="K13" s="58" t="n"/>
      <c r="L13" s="16" t="n"/>
    </row>
    <row r="14" ht="21" customHeight="1" s="25">
      <c r="A14" s="58" t="n"/>
      <c r="B14" s="58" t="n"/>
      <c r="C14" s="58" t="n"/>
      <c r="D14" s="58" t="n"/>
      <c r="E14" s="58" t="n"/>
      <c r="F14" s="58" t="n"/>
      <c r="G14" s="58" t="n"/>
      <c r="H14" s="58" t="n"/>
      <c r="I14" s="58" t="n"/>
      <c r="J14" s="58" t="n"/>
      <c r="K14" s="58" t="n"/>
      <c r="L14" s="16" t="n"/>
      <c r="AH14" s="40" t="n"/>
      <c r="AI14" s="40" t="n"/>
    </row>
    <row r="15" ht="21" customHeight="1" s="25">
      <c r="A15" s="58" t="n"/>
      <c r="B15" s="58" t="n"/>
      <c r="C15" s="58" t="n"/>
      <c r="D15" s="58" t="n"/>
      <c r="E15" s="58" t="n"/>
      <c r="F15" s="58" t="n"/>
      <c r="G15" s="58" t="n"/>
      <c r="H15" s="58" t="n"/>
      <c r="I15" s="58" t="n"/>
      <c r="J15" s="58" t="n"/>
      <c r="K15" s="58" t="n"/>
      <c r="L15" s="16" t="n"/>
    </row>
    <row r="16" ht="21" customHeight="1" s="25">
      <c r="A16" s="58" t="n"/>
      <c r="B16" s="58" t="n"/>
      <c r="C16" s="58" t="n"/>
      <c r="D16" s="58" t="n"/>
      <c r="E16" s="58" t="n"/>
      <c r="F16" s="58" t="n"/>
      <c r="G16" s="58" t="n"/>
      <c r="H16" s="58" t="n"/>
      <c r="I16" s="58" t="n"/>
      <c r="J16" s="58" t="n"/>
      <c r="K16" s="58" t="n"/>
      <c r="L16" s="16" t="n"/>
    </row>
    <row r="17" ht="21" customHeight="1" s="25">
      <c r="A17" s="58" t="n"/>
      <c r="B17" s="58" t="n"/>
      <c r="C17" s="58" t="n"/>
      <c r="D17" s="58" t="n"/>
      <c r="E17" s="58" t="n"/>
      <c r="F17" s="58" t="n"/>
      <c r="G17" s="58" t="n"/>
      <c r="H17" s="58" t="n"/>
      <c r="I17" s="58" t="n"/>
      <c r="J17" s="58" t="n"/>
      <c r="K17" s="58" t="n"/>
      <c r="L17" s="16" t="n"/>
    </row>
    <row r="18" ht="18.75" customHeight="1" s="25">
      <c r="A18" s="58" t="n"/>
      <c r="C18" s="58" t="n"/>
      <c r="D18" s="58" t="n"/>
      <c r="E18" s="58" t="n"/>
      <c r="F18" s="58" t="n"/>
      <c r="G18" s="58" t="n"/>
      <c r="H18" s="58" t="n"/>
      <c r="I18" s="58" t="n"/>
      <c r="J18" s="58" t="n"/>
      <c r="K18" s="58" t="n"/>
      <c r="L18" s="16" t="n"/>
    </row>
    <row r="19" ht="50.25" customHeight="1" s="25"/>
    <row r="20" ht="31.5" customHeight="1" s="25">
      <c r="A20" s="45" t="n"/>
    </row>
    <row r="21" ht="21" customHeight="1" s="25"/>
    <row r="22" ht="21" customHeight="1" s="25"/>
    <row r="23" ht="26.25" customHeight="1" s="25"/>
    <row r="24" ht="21" customHeight="1" s="25"/>
    <row r="25" ht="21" customHeight="1" s="25"/>
    <row r="26" ht="21" customHeight="1" s="25"/>
    <row r="27" ht="28.5" customHeight="1" s="25"/>
    <row r="28" ht="39" customHeight="1" s="25"/>
  </sheetData>
  <mergeCells count="30">
    <mergeCell ref="M11:U11"/>
    <mergeCell ref="AC4:AC6"/>
    <mergeCell ref="J4:J8"/>
    <mergeCell ref="G6:H7"/>
    <mergeCell ref="A4:A8"/>
    <mergeCell ref="K5:L5"/>
    <mergeCell ref="K4:L4"/>
    <mergeCell ref="N4:O6"/>
    <mergeCell ref="P4:Q6"/>
    <mergeCell ref="I6:I8"/>
    <mergeCell ref="R4:S6"/>
    <mergeCell ref="T4:U6"/>
    <mergeCell ref="B1:AE3"/>
    <mergeCell ref="AD4:AD6"/>
    <mergeCell ref="L12:V12"/>
    <mergeCell ref="F4:I4"/>
    <mergeCell ref="M4:M8"/>
    <mergeCell ref="B4:B8"/>
    <mergeCell ref="V4:W6"/>
    <mergeCell ref="F6:F8"/>
    <mergeCell ref="AE4:AE6"/>
    <mergeCell ref="AG4:AG6"/>
    <mergeCell ref="AB4:AB6"/>
    <mergeCell ref="E4:E8"/>
    <mergeCell ref="F5:I5"/>
    <mergeCell ref="X4:Y6"/>
    <mergeCell ref="AF4:AF6"/>
    <mergeCell ref="K6:L6"/>
    <mergeCell ref="C4:D7"/>
    <mergeCell ref="Z4:AA6"/>
  </mergeCells>
  <pageMargins left="0" right="0" top="0.7480314960629921" bottom="0.7480314960629921" header="0.3149606299212598" footer="0.3149606299212598"/>
  <pageSetup orientation="landscape" paperSize="9" scale="57"/>
</worksheet>
</file>

<file path=xl/worksheets/sheet2.xml><?xml version="1.0" encoding="utf-8"?>
<worksheet xmlns="http://schemas.openxmlformats.org/spreadsheetml/2006/main">
  <sheetPr>
    <outlinePr summaryBelow="1" summaryRight="1"/>
    <pageSetUpPr/>
  </sheetPr>
  <dimension ref="A1:T18"/>
  <sheetViews>
    <sheetView zoomScale="85" zoomScaleNormal="85" workbookViewId="0">
      <selection activeCell="C9" sqref="C9"/>
    </sheetView>
  </sheetViews>
  <sheetFormatPr baseColWidth="8" defaultRowHeight="15"/>
  <cols>
    <col width="22.42578125" customWidth="1" style="25" min="1" max="1"/>
    <col width="93.42578125" customWidth="1" style="25" min="2" max="2"/>
    <col width="30.42578125" customWidth="1" style="25" min="3" max="5"/>
  </cols>
  <sheetData>
    <row r="1" ht="31.5" customHeight="1" s="25" thickBot="1">
      <c r="A1" s="1" t="inlineStr">
        <is>
          <t>Подразделение</t>
        </is>
      </c>
      <c r="B1" s="82" t="inlineStr">
        <is>
          <t>Командировка</t>
        </is>
      </c>
      <c r="C1" s="94" t="n"/>
      <c r="D1" s="94" t="n"/>
      <c r="E1" s="95" t="n"/>
    </row>
    <row r="2" ht="15.75" customHeight="1" s="25" thickBot="1">
      <c r="A2" s="82" t="inlineStr">
        <is>
          <t>Управление</t>
        </is>
      </c>
      <c r="B2" s="23" t="inlineStr">
        <is>
          <t xml:space="preserve"> </t>
        </is>
      </c>
      <c r="C2" s="23" t="n"/>
      <c r="D2" s="82" t="n"/>
      <c r="E2" s="82" t="n"/>
    </row>
    <row r="3" ht="54.75" customHeight="1" s="25" thickBot="1">
      <c r="A3" s="42" t="inlineStr">
        <is>
          <t>Узел связи</t>
        </is>
      </c>
      <c r="B3" s="52" t="inlineStr">
        <is>
          <t>ст. с-т Вахрушев В.В. (г.Бердянск, Запорожской обл.)</t>
        </is>
      </c>
      <c r="C3" s="43" t="n">
        <v>1</v>
      </c>
      <c r="D3" s="82" t="n"/>
      <c r="E3" s="82" t="n"/>
    </row>
    <row r="4" ht="15.75" customHeight="1" s="25" thickBot="1">
      <c r="A4" s="82" t="inlineStr">
        <is>
          <t>Ц(МТО)</t>
        </is>
      </c>
      <c r="B4" s="23" t="inlineStr">
        <is>
          <t>м-р Соловьев А.Е. (г. Архангельск)</t>
        </is>
      </c>
      <c r="C4" s="23" t="n">
        <v>1</v>
      </c>
      <c r="D4" s="82" t="n"/>
      <c r="E4" s="82" t="n"/>
    </row>
    <row r="5" ht="15.75" customHeight="1" s="25" thickBot="1">
      <c r="A5" s="82" t="inlineStr">
        <is>
          <t>Оркестр</t>
        </is>
      </c>
      <c r="B5" s="23" t="n"/>
      <c r="C5" s="23" t="n"/>
      <c r="D5" s="82" t="n"/>
      <c r="E5" s="82" t="n"/>
    </row>
    <row r="6" ht="15.75" customHeight="1" s="25" thickBot="1">
      <c r="A6" s="82" t="inlineStr">
        <is>
          <t>1192 ЦО</t>
        </is>
      </c>
      <c r="B6" s="50" t="n"/>
      <c r="C6" s="23" t="n"/>
      <c r="D6" s="82" t="n"/>
      <c r="E6" s="82" t="n"/>
    </row>
    <row r="7" ht="87" customHeight="1" s="25" thickBot="1">
      <c r="A7" s="41" t="inlineStr">
        <is>
          <t>1169 Ц(АСР)</t>
        </is>
      </c>
      <c r="B7" s="54" t="inlineStr">
        <is>
          <t>ст.л-т Литвиненко,ст.пр-к Скопинцев,с-т Хапсироков,ст.с-т Ахметов,ст.с-т Ивакин,ст.с-т Марчихин</t>
        </is>
      </c>
      <c r="C7" s="41" t="n">
        <v>6</v>
      </c>
      <c r="D7" s="82" t="n"/>
      <c r="E7" s="82" t="n"/>
    </row>
    <row r="8" ht="33.75" customFormat="1" customHeight="1" s="18" thickBot="1">
      <c r="A8" s="36" t="inlineStr">
        <is>
          <t>40 РЦПС</t>
        </is>
      </c>
      <c r="B8" s="37" t="inlineStr">
        <is>
          <t>м-р Затерчук А.Н.</t>
        </is>
      </c>
      <c r="C8" s="37" t="n">
        <v>1</v>
      </c>
      <c r="D8" s="36" t="n"/>
      <c r="E8" s="36" t="n"/>
      <c r="R8" s="21" t="n"/>
      <c r="S8" s="21" t="n"/>
      <c r="T8" s="21" t="n"/>
    </row>
    <row r="9" ht="111.75" customHeight="1" s="25" thickBot="1">
      <c r="A9" s="38" t="inlineStr">
        <is>
          <t>1125 Центр (РХБЗ)</t>
        </is>
      </c>
      <c r="B9" s="55" t="inlineStr">
        <is>
          <t>УТЦ – 2 чел. ( ряд. Войтов, ряд. Стромаков)  
46 КЦ - 4 чел. (ряд. Карасев, ряд. Трафимович, ряд. Лыков, ряд. Поляков)                                                                  65 ОАО- 5 чел. (ряд. Пашков, ряд. Цветков, ряд. Лебедев, ряд. Семенов, ряд. Пастухов)</t>
        </is>
      </c>
      <c r="C9" s="55" t="n">
        <v>11</v>
      </c>
      <c r="D9" s="38" t="n"/>
      <c r="E9" s="38" t="n"/>
    </row>
    <row r="10" ht="39" customHeight="1" s="25" thickBot="1">
      <c r="A10" s="82">
        <f>+Лист2!B3</f>
        <v/>
      </c>
      <c r="B10" s="23" t="inlineStr">
        <is>
          <t>к-н Лоренц, л-т Кармилицин, ст. с-т Привольнев</t>
        </is>
      </c>
      <c r="C10" s="23" t="n">
        <v>3</v>
      </c>
      <c r="D10" s="82" t="n"/>
      <c r="E10" s="82" t="n"/>
    </row>
    <row r="11" ht="170.25" customHeight="1" s="25" thickBot="1">
      <c r="A11" s="53" t="inlineStr">
        <is>
          <t>1351 ЦО</t>
        </is>
      </c>
      <c r="B11" s="48" t="inlineStr">
        <is>
          <t xml:space="preserve"> (ЦА - 8- ст. пр-к Батыргареев П.Х., пр-к Цымбулов В.Е., ст. пр-к Прокопенко Г.В.,  пр-к Патенко С.И., пр-к Свешников А.А., пр-к Султанов В.Ф., ст. с-т Гамзаев М.Ф.,  с-т Ковальчук А.В.) (46 КЦ- 14  ряд. Латышев Е.Ю., ряд. Жиронкин М.А., ряд. Стрельников В.И., ряд. Татушин Н.И., ряд. Кузьмин И.Р., ряд. Гафуров Р.А., ряд. Добролюбов Е.Д., ряд. Мартьянов А.А., ряд. Назвров Т.У., ряд. Гурский Е.Д., ряд. Почивалин А.В., ряд. Михеев И.А., ряд. Шмелев В.А., ряд. Соловьев Р.П.)(Херсонская область 1 -ст. с-т Белоусов Е.Ю.)(Архангельск 2- ст. с-т Кротов Д.А., ст. с-т Хаников Р.Ш.)</t>
        </is>
      </c>
      <c r="C11" s="35" t="n">
        <v>25</v>
      </c>
      <c r="D11" s="53" t="inlineStr">
        <is>
          <t>(Белгород 1- Грищук В.И.)</t>
        </is>
      </c>
      <c r="E11" s="57" t="n">
        <v>1</v>
      </c>
      <c r="F11" s="56" t="n"/>
      <c r="G11" s="56" t="n"/>
      <c r="H11" s="56" t="n"/>
      <c r="I11" s="56" t="n"/>
      <c r="J11" s="56" t="n"/>
      <c r="K11" s="56" t="n"/>
      <c r="L11" s="56" t="n"/>
      <c r="M11" s="56" t="n"/>
      <c r="N11" s="56" t="n"/>
      <c r="O11" s="56" t="n"/>
      <c r="P11" s="56" t="n"/>
      <c r="Q11" s="56" t="n"/>
    </row>
    <row r="12" ht="15.75" customHeight="1" s="25" thickBot="1">
      <c r="A12" s="82" t="inlineStr">
        <is>
          <t>46 КЦ</t>
        </is>
      </c>
      <c r="B12" s="23" t="n"/>
      <c r="C12" s="23" t="n"/>
      <c r="D12" s="82" t="n"/>
      <c r="E12" s="82" t="n"/>
    </row>
    <row r="13" ht="65.25" customHeight="1" s="25" thickBot="1">
      <c r="A13" s="82" t="inlineStr">
        <is>
          <t xml:space="preserve">334 УТЦ </t>
        </is>
      </c>
      <c r="B13" s="34" t="inlineStr">
        <is>
          <t>л-т Рогачев П.А., л-т Попов Д.А., пр-к Лысов А.Е., пр-к Болтаев А.В. - г. Волгоград</t>
        </is>
      </c>
      <c r="C13" s="33" t="n">
        <v>4</v>
      </c>
      <c r="D13" s="82" t="n"/>
      <c r="E13" s="82" t="n"/>
    </row>
    <row r="14" ht="45.75" customHeight="1" s="25" thickBot="1">
      <c r="A14" s="46" t="inlineStr">
        <is>
          <t>1234 МЦ</t>
        </is>
      </c>
      <c r="B14" s="47" t="n"/>
      <c r="C14" s="47" t="n">
        <v>0</v>
      </c>
      <c r="D14" s="46" t="n">
        <v>0</v>
      </c>
      <c r="E14" s="46" t="n">
        <v>0</v>
      </c>
    </row>
    <row r="15" ht="31.5" customHeight="1" s="25" thickBot="1">
      <c r="A15" s="82" t="inlineStr">
        <is>
          <t>955БРХТ</t>
        </is>
      </c>
      <c r="B15" s="23" t="n"/>
      <c r="C15" s="23" t="n">
        <v>0</v>
      </c>
      <c r="D15" s="23" t="n"/>
      <c r="E15" s="23" t="n">
        <v>0</v>
      </c>
    </row>
    <row r="16" ht="61.5" customHeight="1" s="25" thickBot="1">
      <c r="A16" s="82" t="inlineStr">
        <is>
          <t>65 ОАО</t>
        </is>
      </c>
      <c r="B16" s="22" t="inlineStr">
        <is>
          <t>с-т Кузьменкин Е.В., ст. с-т Шестаков Е.В. - ДНР, ЛНР
ряд. Силантьев, ряд. Гнрицюта</t>
        </is>
      </c>
      <c r="C16" s="23" t="n">
        <v>4</v>
      </c>
      <c r="D16" s="82" t="n"/>
      <c r="E16" s="82" t="n"/>
    </row>
    <row r="17" ht="15.75" customHeight="1" s="25" thickBot="1">
      <c r="A17" s="4" t="n"/>
      <c r="B17" s="3" t="n"/>
      <c r="C17" s="5">
        <f>SUM(C2:C16)</f>
        <v/>
      </c>
      <c r="D17" s="1" t="n"/>
      <c r="E17" s="5">
        <f>SUM(E2:E16)</f>
        <v/>
      </c>
    </row>
    <row r="18">
      <c r="A18">
        <f>+Лист2!C112</f>
        <v/>
      </c>
    </row>
  </sheetData>
  <mergeCells count="1">
    <mergeCell ref="B1:E1"/>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2020-08-28T12:19:38Z</dcterms:created>
  <dcterms:modified xmlns:dcterms="http://purl.org/dc/terms/" xmlns:xsi="http://www.w3.org/2001/XMLSchema-instance" xsi:type="dcterms:W3CDTF">2026-06-02T17:18:19Z</dcterms:modified>
  <cp:lastModifiedBy>ARM_6_10</cp:lastModifiedBy>
  <cp:lastPrinted>2026-05-18T06:20:38Z</cp:lastPrinted>
</cp:coreProperties>
</file>