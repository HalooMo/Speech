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30" windowHeight="11760" tabRatio="282" firstSheet="1" activeTab="1" autoFilterDateGrouping="1"/>
  </bookViews>
  <sheets>
    <sheet xmlns:r="http://schemas.openxmlformats.org/officeDocument/2006/relationships" name="Диаграмма1" sheetId="1" state="visible" r:id="rId1"/>
    <sheet xmlns:r="http://schemas.openxmlformats.org/officeDocument/2006/relationships" name="Лист1" sheetId="2" state="visible" r:id="rId2"/>
    <sheet xmlns:r="http://schemas.openxmlformats.org/officeDocument/2006/relationships" name="Лист2" sheetId="3" state="visible" r:id="rId3"/>
  </sheets>
  <definedNames>
    <definedName name="_xlnm.Print_Area" localSheetId="0">'Лист1'!$A$1:$AG$25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0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b val="1"/>
      <color rgb="FF000000"/>
      <sz val="9"/>
    </font>
    <font>
      <name val="Times New Roman"/>
      <charset val="204"/>
      <family val="1"/>
      <b val="1"/>
      <color theme="1"/>
      <sz val="9.5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6"/>
    </font>
    <font>
      <name val="Times New Roman"/>
      <charset val="204"/>
      <family val="1"/>
      <b val="1"/>
      <color rgb="FF0070C0"/>
      <sz val="6"/>
    </font>
    <font>
      <name val="Times New Roman"/>
      <charset val="204"/>
      <family val="1"/>
      <color theme="1"/>
      <sz val="9.5"/>
    </font>
    <font>
      <name val="Calibri"/>
      <charset val="204"/>
      <family val="2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theme="1"/>
      <sz val="7"/>
    </font>
    <font>
      <name val="Times New Roman"/>
      <charset val="204"/>
      <family val="1"/>
      <b val="1"/>
      <color rgb="FF000000"/>
      <sz val="10"/>
    </font>
    <font>
      <name val="Calibri"/>
      <charset val="204"/>
      <family val="2"/>
      <sz val="14"/>
      <scheme val="minor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color theme="1"/>
      <sz val="5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theme="1" tint="0.0499893185216834"/>
      <sz val="9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6"/>
    </font>
    <font>
      <name val="Times New Roman"/>
      <charset val="204"/>
      <family val="1"/>
      <color theme="1"/>
      <sz val="6"/>
    </font>
    <font>
      <name val="Times New Roman"/>
      <charset val="204"/>
      <family val="1"/>
      <b val="1"/>
      <sz val="9"/>
    </font>
    <font>
      <name val="Times New Roman"/>
      <charset val="204"/>
      <family val="1"/>
      <b val="1"/>
      <color rgb="FFFF0000"/>
      <sz val="9"/>
    </font>
  </fonts>
  <fills count="1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BF7F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" fontId="1" fillId="0" borderId="1" applyAlignment="1" applyProtection="1" pivotButton="0" quotePrefix="0" xfId="0">
      <alignment horizontal="center" vertical="center" wrapText="1"/>
      <protection locked="0" hidden="0"/>
    </xf>
    <xf numFmtId="1" fontId="4" fillId="6" borderId="1" applyAlignment="1" applyProtection="1" pivotButton="0" quotePrefix="0" xfId="0">
      <alignment horizontal="center" wrapText="1"/>
      <protection locked="0" hidden="0"/>
    </xf>
    <xf numFmtId="1" fontId="1" fillId="6" borderId="1" applyAlignment="1" applyProtection="1" pivotButton="0" quotePrefix="0" xfId="0">
      <alignment horizontal="center" wrapText="1"/>
      <protection locked="0" hidden="0"/>
    </xf>
    <xf numFmtId="0" fontId="1" fillId="6" borderId="1" applyAlignment="1" applyProtection="1" pivotButton="0" quotePrefix="0" xfId="0">
      <alignment horizontal="center"/>
      <protection locked="0" hidden="0"/>
    </xf>
    <xf numFmtId="1" fontId="8" fillId="6" borderId="1" applyAlignment="1" applyProtection="1" pivotButton="0" quotePrefix="0" xfId="0">
      <alignment horizontal="center" wrapText="1"/>
      <protection locked="0" hidden="0"/>
    </xf>
    <xf numFmtId="1" fontId="6" fillId="0" borderId="1" applyAlignment="1" applyProtection="1" pivotButton="0" quotePrefix="0" xfId="0">
      <alignment horizontal="center" wrapText="1"/>
      <protection locked="0" hidden="0"/>
    </xf>
    <xf numFmtId="1" fontId="5" fillId="0" borderId="1" applyAlignment="1" applyProtection="1" pivotButton="0" quotePrefix="0" xfId="0">
      <alignment horizontal="center" wrapText="1"/>
      <protection locked="0" hidden="0"/>
    </xf>
    <xf numFmtId="1" fontId="8" fillId="0" borderId="1" applyAlignment="1" applyProtection="1" pivotButton="0" quotePrefix="0" xfId="0">
      <alignment horizontal="center" vertical="center" wrapText="1"/>
      <protection locked="0" hidden="0"/>
    </xf>
    <xf numFmtId="1" fontId="12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1" fontId="9" fillId="0" borderId="1" applyAlignment="1" applyProtection="1" pivotButton="0" quotePrefix="0" xfId="0">
      <alignment horizontal="center" vertical="center" wrapText="1"/>
      <protection locked="0" hidden="0"/>
    </xf>
    <xf numFmtId="1" fontId="13" fillId="0" borderId="1" applyAlignment="1" applyProtection="1" pivotButton="0" quotePrefix="0" xfId="0">
      <alignment horizontal="center" vertical="center" wrapText="1"/>
      <protection locked="0" hidden="0"/>
    </xf>
    <xf numFmtId="1" fontId="8" fillId="5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1" fontId="8" fillId="4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wrapText="1"/>
    </xf>
    <xf numFmtId="1" fontId="8" fillId="6" borderId="2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wrapText="1"/>
    </xf>
    <xf numFmtId="0" fontId="14" fillId="0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0" borderId="0" pivotButton="0" quotePrefix="0" xfId="0"/>
    <xf numFmtId="1" fontId="0" fillId="0" borderId="0" pivotButton="0" quotePrefix="0" xfId="0"/>
    <xf numFmtId="0" fontId="0" fillId="6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" fontId="8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1" fontId="8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1" fontId="8" fillId="6" borderId="1" applyAlignment="1" applyProtection="1" pivotButton="0" quotePrefix="0" xfId="0">
      <alignment horizontal="center" vertical="center" wrapText="1"/>
      <protection locked="0" hidden="0"/>
    </xf>
    <xf numFmtId="1" fontId="12" fillId="6" borderId="1" applyAlignment="1" applyProtection="1" pivotButton="0" quotePrefix="0" xfId="0">
      <alignment horizontal="center" vertical="center" wrapText="1"/>
      <protection locked="0" hidden="0"/>
    </xf>
    <xf numFmtId="1" fontId="8" fillId="5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18" fillId="0" borderId="1" applyAlignment="1" applyProtection="1" pivotButton="0" quotePrefix="0" xfId="0">
      <alignment horizontal="center" vertical="center" wrapText="1"/>
      <protection locked="0" hidden="0"/>
    </xf>
    <xf numFmtId="49" fontId="17" fillId="0" borderId="1" applyAlignment="1" applyProtection="1" pivotButton="0" quotePrefix="0" xfId="0">
      <alignment horizontal="center" vertical="center"/>
      <protection locked="0" hidden="0"/>
    </xf>
    <xf numFmtId="0" fontId="2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2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top" wrapText="1"/>
    </xf>
    <xf numFmtId="1" fontId="22" fillId="0" borderId="1" applyAlignment="1" applyProtection="1" pivotButton="0" quotePrefix="0" xfId="0">
      <alignment horizontal="center" vertical="center" wrapText="1"/>
      <protection locked="0" hidden="0"/>
    </xf>
    <xf numFmtId="1" fontId="5" fillId="0" borderId="1" applyAlignment="1" applyProtection="1" pivotButton="0" quotePrefix="0" xfId="0">
      <alignment horizontal="center" vertical="center" wrapText="1"/>
      <protection locked="0" hidden="0"/>
    </xf>
    <xf numFmtId="1" fontId="24" fillId="0" borderId="1" applyAlignment="1" applyProtection="1" pivotButton="0" quotePrefix="0" xfId="0">
      <alignment horizontal="center" vertical="center" wrapText="1"/>
      <protection locked="0" hidden="0"/>
    </xf>
    <xf numFmtId="49" fontId="0" fillId="0" borderId="0" pivotButton="0" quotePrefix="0" xfId="0"/>
    <xf numFmtId="1" fontId="23" fillId="0" borderId="1" applyAlignment="1" applyProtection="1" pivotButton="0" quotePrefix="0" xfId="0">
      <alignment horizontal="left" vertical="center" wrapText="1"/>
      <protection locked="0" hidden="0"/>
    </xf>
    <xf numFmtId="0" fontId="14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11" fillId="8" borderId="1" applyAlignment="1" pivotButton="0" quotePrefix="0" xfId="0">
      <alignment horizontal="center" vertical="center" wrapText="1"/>
    </xf>
    <xf numFmtId="0" fontId="12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19" fillId="11" borderId="1" applyAlignment="1" applyProtection="1" pivotButton="0" quotePrefix="0" xfId="0">
      <alignment horizontal="left" vertical="center" wrapText="1"/>
      <protection locked="0" hidden="0"/>
    </xf>
    <xf numFmtId="49" fontId="8" fillId="0" borderId="1" applyAlignment="1" applyProtection="1" pivotButton="0" quotePrefix="0" xfId="0">
      <alignment horizontal="center" vertical="center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8" borderId="7" applyAlignment="1" pivotButton="0" quotePrefix="0" xfId="0">
      <alignment horizontal="center" vertical="center" wrapText="1"/>
    </xf>
    <xf numFmtId="1" fontId="26" fillId="0" borderId="1" applyAlignment="1" applyProtection="1" pivotButton="0" quotePrefix="0" xfId="0">
      <alignment horizontal="center" vertical="center" wrapText="1"/>
      <protection locked="0" hidden="0"/>
    </xf>
    <xf numFmtId="1" fontId="26" fillId="6" borderId="1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6" borderId="9" applyAlignment="1" pivotButton="0" quotePrefix="0" xfId="0">
      <alignment horizontal="center" vertical="center" wrapText="1"/>
    </xf>
    <xf numFmtId="1" fontId="27" fillId="0" borderId="1" applyAlignment="1" applyProtection="1" pivotButton="0" quotePrefix="0" xfId="0">
      <alignment horizontal="center" vertical="center" wrapText="1"/>
      <protection locked="0" hidden="0"/>
    </xf>
    <xf numFmtId="0" fontId="14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1" fontId="28" fillId="12" borderId="1" applyAlignment="1" pivotButton="0" quotePrefix="0" xfId="0">
      <alignment horizontal="center" wrapText="1"/>
    </xf>
    <xf numFmtId="1" fontId="8" fillId="12" borderId="1" applyAlignment="1" pivotButton="0" quotePrefix="0" xfId="0">
      <alignment horizontal="center" wrapText="1"/>
    </xf>
    <xf numFmtId="0" fontId="25" fillId="8" borderId="1" applyAlignment="1" pivotButton="0" quotePrefix="1" xfId="0">
      <alignment horizontal="center" vertical="center" wrapText="1"/>
    </xf>
    <xf numFmtId="0" fontId="29" fillId="0" borderId="1" applyAlignment="1" applyProtection="1" pivotButton="0" quotePrefix="0" xfId="0">
      <alignment horizontal="center" vertical="center"/>
      <protection locked="0" hidden="0"/>
    </xf>
    <xf numFmtId="1" fontId="8" fillId="6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vertical="center" wrapText="1"/>
    </xf>
    <xf numFmtId="1" fontId="9" fillId="6" borderId="8" applyAlignment="1" pivotButton="0" quotePrefix="0" xfId="0">
      <alignment horizontal="center" vertical="center" wrapText="1"/>
    </xf>
    <xf numFmtId="1" fontId="9" fillId="0" borderId="9" applyAlignment="1" pivotButton="0" quotePrefix="0" xfId="0">
      <alignment horizontal="center" vertical="center" wrapText="1"/>
    </xf>
    <xf numFmtId="1" fontId="9" fillId="3" borderId="9" applyAlignment="1" pivotButton="0" quotePrefix="0" xfId="0">
      <alignment horizontal="center" vertical="center" wrapText="1"/>
    </xf>
    <xf numFmtId="49" fontId="17" fillId="0" borderId="1" applyAlignment="1" applyProtection="1" pivotButton="0" quotePrefix="1" xfId="0">
      <alignment horizontal="center" vertical="center"/>
      <protection locked="0" hidden="0"/>
    </xf>
    <xf numFmtId="1" fontId="8" fillId="0" borderId="11" applyAlignment="1" applyProtection="1" pivotButton="0" quotePrefix="0" xfId="0">
      <alignment horizontal="center" vertical="center" wrapText="1"/>
      <protection locked="0" hidden="0"/>
    </xf>
    <xf numFmtId="0" fontId="9" fillId="6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1" fontId="8" fillId="6" borderId="14" applyAlignment="1" applyProtection="1" pivotButton="0" quotePrefix="0" xfId="0">
      <alignment horizontal="center" vertical="center" wrapText="1"/>
      <protection locked="0" hidden="0"/>
    </xf>
    <xf numFmtId="0" fontId="9" fillId="3" borderId="13" applyAlignment="1" pivotButton="0" quotePrefix="0" xfId="0">
      <alignment horizontal="center" vertical="center" wrapText="1"/>
    </xf>
    <xf numFmtId="1" fontId="8" fillId="0" borderId="14" applyAlignment="1" applyProtection="1" pivotButton="0" quotePrefix="0" xfId="0">
      <alignment horizontal="center" vertical="center" wrapText="1"/>
      <protection locked="0" hidden="0"/>
    </xf>
    <xf numFmtId="1" fontId="8" fillId="5" borderId="14" applyAlignment="1" pivotButton="0" quotePrefix="0" xfId="0">
      <alignment horizontal="center" vertical="center" wrapText="1"/>
    </xf>
    <xf numFmtId="1" fontId="8" fillId="0" borderId="14" applyAlignment="1" pivotButton="0" quotePrefix="0" xfId="0">
      <alignment horizontal="center" vertical="center" wrapText="1"/>
    </xf>
    <xf numFmtId="1" fontId="8" fillId="0" borderId="14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1" fontId="12" fillId="0" borderId="14" applyAlignment="1" applyProtection="1" pivotButton="0" quotePrefix="0" xfId="0">
      <alignment horizontal="center" vertical="center" wrapText="1"/>
      <protection locked="0" hidden="0"/>
    </xf>
    <xf numFmtId="0" fontId="8" fillId="0" borderId="14" applyAlignment="1" applyProtection="1" pivotButton="0" quotePrefix="0" xfId="0">
      <alignment horizontal="center" vertical="center"/>
      <protection locked="0" hidden="0"/>
    </xf>
    <xf numFmtId="1" fontId="8" fillId="6" borderId="8" applyAlignment="1" applyProtection="1" pivotButton="0" quotePrefix="0" xfId="0">
      <alignment horizontal="center" vertical="center" wrapText="1"/>
      <protection locked="0" hidden="0"/>
    </xf>
    <xf numFmtId="1" fontId="8" fillId="0" borderId="8" applyAlignment="1" applyProtection="1" pivotButton="0" quotePrefix="0" xfId="0">
      <alignment horizontal="center" vertical="center" wrapText="1"/>
      <protection locked="0" hidden="0"/>
    </xf>
    <xf numFmtId="1" fontId="8" fillId="5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1" fontId="12" fillId="0" borderId="8" applyAlignment="1" applyProtection="1" pivotButton="0" quotePrefix="0" xfId="0">
      <alignment horizontal="center" vertical="center" wrapText="1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" fontId="9" fillId="6" borderId="1" applyAlignment="1" applyProtection="1" pivotButton="0" quotePrefix="0" xfId="0">
      <alignment horizontal="center" vertical="center" wrapText="1"/>
      <protection locked="0" hidden="0"/>
    </xf>
    <xf numFmtId="0" fontId="9" fillId="6" borderId="13" applyAlignment="1" pivotButton="0" quotePrefix="0" xfId="0">
      <alignment horizontal="center" vertical="center" wrapText="1"/>
    </xf>
    <xf numFmtId="1" fontId="4" fillId="0" borderId="1" applyAlignment="1" applyProtection="1" pivotButton="0" quotePrefix="0" xfId="0">
      <alignment horizontal="center" textRotation="90" wrapText="1"/>
      <protection locked="0" hidden="0"/>
    </xf>
    <xf numFmtId="1" fontId="4" fillId="0" borderId="1" applyAlignment="1" applyProtection="1" pivotButton="0" quotePrefix="0" xfId="0">
      <alignment horizontal="center" vertical="center" wrapText="1"/>
      <protection locked="0" hidden="0"/>
    </xf>
    <xf numFmtId="1" fontId="8" fillId="0" borderId="10" applyAlignment="1" pivotButton="0" quotePrefix="0" xfId="0">
      <alignment horizontal="center" wrapText="1"/>
    </xf>
    <xf numFmtId="1" fontId="8" fillId="0" borderId="2" applyAlignment="1" pivotButton="0" quotePrefix="0" xfId="0">
      <alignment horizontal="center" wrapText="1"/>
    </xf>
    <xf numFmtId="1" fontId="3" fillId="0" borderId="0" applyAlignment="1" applyProtection="1" pivotButton="0" quotePrefix="0" xfId="0">
      <alignment horizontal="center" wrapText="1"/>
      <protection locked="0" hidden="0"/>
    </xf>
    <xf numFmtId="1" fontId="3" fillId="0" borderId="0" applyAlignment="1" applyProtection="1" pivotButton="0" quotePrefix="0" xfId="0">
      <alignment horizontal="center"/>
      <protection locked="0" hidden="0"/>
    </xf>
    <xf numFmtId="1" fontId="3" fillId="0" borderId="0" applyAlignment="1" applyProtection="1" pivotButton="0" quotePrefix="0" xfId="0">
      <alignment horizontal="center"/>
      <protection locked="0" hidden="0"/>
    </xf>
    <xf numFmtId="1" fontId="4" fillId="6" borderId="1" applyAlignment="1" applyProtection="1" pivotButton="0" quotePrefix="0" xfId="0">
      <alignment horizontal="center" wrapText="1"/>
      <protection locked="0" hidden="0"/>
    </xf>
    <xf numFmtId="1" fontId="4" fillId="0" borderId="1" applyAlignment="1" applyProtection="1" pivotButton="0" quotePrefix="0" xfId="0">
      <alignment horizontal="center" wrapText="1"/>
      <protection locked="0" hidden="0"/>
    </xf>
    <xf numFmtId="1" fontId="8" fillId="6" borderId="10" applyAlignment="1" pivotButton="0" quotePrefix="0" xfId="0">
      <alignment horizontal="center" wrapText="1"/>
    </xf>
    <xf numFmtId="1" fontId="8" fillId="6" borderId="11" applyAlignment="1" pivotButton="0" quotePrefix="0" xfId="0">
      <alignment horizontal="center" wrapText="1"/>
    </xf>
    <xf numFmtId="1" fontId="8" fillId="6" borderId="2" applyAlignment="1" pivotButton="0" quotePrefix="0" xfId="0">
      <alignment horizontal="center" wrapText="1"/>
    </xf>
    <xf numFmtId="1" fontId="8" fillId="0" borderId="11" applyAlignment="1" pivotButton="0" quotePrefix="0" xfId="0">
      <alignment horizontal="center" wrapText="1"/>
    </xf>
    <xf numFmtId="1" fontId="0" fillId="0" borderId="1" applyAlignment="1" applyProtection="1" pivotButton="0" quotePrefix="0" xfId="0">
      <alignment wrapText="1"/>
      <protection locked="0" hidden="0"/>
    </xf>
    <xf numFmtId="1" fontId="4" fillId="0" borderId="1" applyAlignment="1" applyProtection="1" pivotButton="0" quotePrefix="0" xfId="0">
      <alignment horizontal="center" vertical="center" textRotation="90" wrapText="1"/>
      <protection locked="0" hidden="0"/>
    </xf>
    <xf numFmtId="0" fontId="11" fillId="6" borderId="0" applyAlignment="1" pivotButton="0" quotePrefix="0" xfId="0">
      <alignment horizontal="left" wrapText="1"/>
    </xf>
    <xf numFmtId="0" fontId="20" fillId="13" borderId="6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1" fontId="4" fillId="0" borderId="2" applyAlignment="1" applyProtection="1" pivotButton="0" quotePrefix="0" xfId="0">
      <alignment horizontal="center" vertical="center" wrapText="1"/>
      <protection locked="0" hidden="0"/>
    </xf>
    <xf numFmtId="1" fontId="4" fillId="6" borderId="1" applyAlignment="1" applyProtection="1" pivotButton="0" quotePrefix="0" xfId="0">
      <alignment horizontal="center" textRotation="90" wrapText="1"/>
      <protection locked="0" hidden="0"/>
    </xf>
    <xf numFmtId="1" fontId="5" fillId="0" borderId="1" applyAlignment="1" applyProtection="1" pivotButton="0" quotePrefix="0" xfId="0">
      <alignment horizontal="center" wrapText="1"/>
      <protection locked="0" hidden="0"/>
    </xf>
    <xf numFmtId="0" fontId="14" fillId="0" borderId="1" applyAlignment="1" pivotButton="0" quotePrefix="0" xfId="0">
      <alignment horizontal="center" vertical="center" wrapText="1"/>
    </xf>
    <xf numFmtId="0" fontId="0" fillId="0" borderId="17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12" pivotButton="0" quotePrefix="0" xfId="0"/>
    <xf numFmtId="0" fontId="0" fillId="0" borderId="13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6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/><Relationship Type="http://schemas.openxmlformats.org/officeDocument/2006/relationships/worksheet" Target="/xl/worksheets/sheet1.xml" Id="rId2"/><Relationship Type="http://schemas.openxmlformats.org/officeDocument/2006/relationships/worksheet" Target="/xl/worksheets/sheet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Лист1!$B$1:$B$3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Лист1!$B$4:$B$34</f>
              <numCache>
                <formatCode>0</formatCode>
                <ptCount val="31"/>
                <pt idx="0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formatCode>@</formatCode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</numCache>
            </numRef>
          </val>
        </ser>
        <ser>
          <idx val="1"/>
          <order val="1"/>
          <tx>
            <strRef>
              <f>Лист1!$C$1:$C$3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Лист1!$C$4:$C$34</f>
              <numCache>
                <formatCode>0</formatCode>
                <ptCount val="31"/>
                <pt idx="0">
                  <v>0</v>
                </pt>
                <pt idx="4">
                  <v>0</v>
                </pt>
                <pt idx="5">
                  <formatCode>General</formatCode>
                  <v>91</v>
                </pt>
                <pt idx="6">
                  <formatCode>General</formatCode>
                  <v>45</v>
                </pt>
                <pt idx="7">
                  <formatCode>General</formatCode>
                  <v>11</v>
                </pt>
                <pt idx="8">
                  <formatCode>General</formatCode>
                  <v>5</v>
                </pt>
                <pt idx="9">
                  <formatCode>General</formatCode>
                  <v>26</v>
                </pt>
                <pt idx="10">
                  <formatCode>General</formatCode>
                  <v>152</v>
                </pt>
                <pt idx="11">
                  <formatCode>General</formatCode>
                  <v>25</v>
                </pt>
                <pt idx="12">
                  <formatCode>General</formatCode>
                  <v>69</v>
                </pt>
                <pt idx="13">
                  <formatCode>General</formatCode>
                  <v>8</v>
                </pt>
                <pt idx="14">
                  <formatCode>General</formatCode>
                  <v>86</v>
                </pt>
                <pt idx="15">
                  <v>19</v>
                </pt>
                <pt idx="16">
                  <formatCode>General</formatCode>
                  <v>50</v>
                </pt>
                <pt idx="17">
                  <formatCode>General</formatCode>
                  <v>14</v>
                </pt>
                <pt idx="18">
                  <formatCode>General</formatCode>
                  <v>354</v>
                </pt>
                <pt idx="19">
                  <formatCode>General</formatCode>
                  <v>0</v>
                </pt>
                <pt idx="20">
                  <v>955</v>
                </pt>
                <pt idx="21">
                  <v>1492</v>
                </pt>
              </numCache>
            </numRef>
          </val>
        </ser>
        <ser>
          <idx val="2"/>
          <order val="2"/>
          <tx>
            <strRef>
              <f>Лист1!$D$1:$D$3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Лист1!$D$4:$D$34</f>
              <numCache>
                <formatCode>0</formatCode>
                <ptCount val="31"/>
                <pt idx="4">
                  <v>0</v>
                </pt>
                <pt idx="5">
                  <formatCode>General</formatCode>
                  <v>73</v>
                </pt>
                <pt idx="6">
                  <formatCode>General</formatCode>
                  <v>24</v>
                </pt>
                <pt idx="7">
                  <formatCode>General</formatCode>
                  <v>48</v>
                </pt>
                <pt idx="8">
                  <formatCode>General</formatCode>
                  <v>14</v>
                </pt>
                <pt idx="9">
                  <formatCode>General</formatCode>
                  <v>56</v>
                </pt>
                <pt idx="10">
                  <formatCode>General</formatCode>
                  <v>44</v>
                </pt>
                <pt idx="11">
                  <formatCode>General</formatCode>
                  <v>52</v>
                </pt>
                <pt idx="12">
                  <formatCode>General</formatCode>
                  <v>17</v>
                </pt>
                <pt idx="13">
                  <formatCode>General</formatCode>
                  <v>34</v>
                </pt>
                <pt idx="14">
                  <formatCode>General</formatCode>
                  <v>62</v>
                </pt>
                <pt idx="15">
                  <v>32</v>
                </pt>
                <pt idx="16">
                  <formatCode>General</formatCode>
                  <v>43</v>
                </pt>
                <pt idx="17">
                  <formatCode>General</formatCode>
                  <v>38</v>
                </pt>
                <pt idx="18">
                  <formatCode>General</formatCode>
                  <v>0</v>
                </pt>
                <pt idx="19">
                  <formatCode>General</formatCode>
                  <v>0</v>
                </pt>
                <pt idx="20">
                  <v>537</v>
                </pt>
              </numCache>
            </numRef>
          </val>
        </ser>
        <ser>
          <idx val="3"/>
          <order val="3"/>
          <tx>
            <strRef>
              <f>Лист1!$E$1:$E$3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Лист1!$E$4:$E$34</f>
              <numCache>
                <formatCode>0</formatCode>
                <ptCount val="31"/>
                <pt idx="0">
                  <v>0</v>
                </pt>
                <pt idx="5">
                  <v>164</v>
                </pt>
                <pt idx="6">
                  <v>69</v>
                </pt>
                <pt idx="7">
                  <v>59</v>
                </pt>
                <pt idx="8">
                  <v>19</v>
                </pt>
                <pt idx="9">
                  <v>82</v>
                </pt>
                <pt idx="10">
                  <v>196</v>
                </pt>
                <pt idx="11">
                  <v>77</v>
                </pt>
                <pt idx="12">
                  <v>86</v>
                </pt>
                <pt idx="13">
                  <v>42</v>
                </pt>
                <pt idx="14">
                  <v>148</v>
                </pt>
                <pt idx="15">
                  <v>51</v>
                </pt>
                <pt idx="16">
                  <v>93</v>
                </pt>
                <pt idx="17">
                  <v>52</v>
                </pt>
                <pt idx="18">
                  <formatCode>General</formatCode>
                  <v>354</v>
                </pt>
                <pt idx="19">
                  <v>0</v>
                </pt>
                <pt idx="20">
                  <v>1492</v>
                </pt>
              </numCache>
            </numRef>
          </val>
        </ser>
        <ser>
          <idx val="4"/>
          <order val="4"/>
          <tx>
            <strRef>
              <f>Лист1!$F$1:$F$3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Лист1!$F$4:$F$34</f>
              <numCache>
                <formatCode>0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5">
                  <formatCode>General</formatCode>
                  <v>87</v>
                </pt>
                <pt idx="6">
                  <formatCode>General</formatCode>
                  <v>36</v>
                </pt>
                <pt idx="7">
                  <formatCode>General</formatCode>
                  <v>9</v>
                </pt>
                <pt idx="8">
                  <formatCode>General</formatCode>
                  <v>4</v>
                </pt>
                <pt idx="9">
                  <formatCode>General</formatCode>
                  <v>38</v>
                </pt>
                <pt idx="10">
                  <formatCode>General</formatCode>
                  <v>131</v>
                </pt>
                <pt idx="11">
                  <formatCode>General</formatCode>
                  <v>23</v>
                </pt>
                <pt idx="12">
                  <formatCode>General</formatCode>
                  <v>63</v>
                </pt>
                <pt idx="13">
                  <formatCode>General</formatCode>
                  <v>8</v>
                </pt>
                <pt idx="14">
                  <formatCode>General</formatCode>
                  <v>76</v>
                </pt>
                <pt idx="15">
                  <v>17</v>
                </pt>
                <pt idx="16">
                  <formatCode>General</formatCode>
                  <v>48</v>
                </pt>
                <pt idx="17">
                  <formatCode>General</formatCode>
                  <v>11</v>
                </pt>
                <pt idx="18">
                  <formatCode>General</formatCode>
                  <v>298</v>
                </pt>
                <pt idx="19">
                  <formatCode>General</formatCode>
                  <v>61</v>
                </pt>
                <pt idx="20">
                  <v>910</v>
                </pt>
                <pt idx="21">
                  <v>1178</v>
                </pt>
              </numCache>
            </numRef>
          </val>
        </ser>
        <ser>
          <idx val="5"/>
          <order val="5"/>
          <tx>
            <strRef>
              <f>Лист1!$G$1:$G$3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Лист1!$G$4:$G$34</f>
              <numCache>
                <formatCode>0</formatCode>
                <ptCount val="31"/>
                <pt idx="2">
                  <v>0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1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29</v>
                </pt>
                <pt idx="10">
                  <formatCode>General</formatCode>
                  <v>8</v>
                </pt>
                <pt idx="11">
                  <formatCode>General</formatCode>
                  <v>1</v>
                </pt>
                <pt idx="12">
                  <formatCode>General</formatCode>
                  <v>14</v>
                </pt>
                <pt idx="13">
                  <formatCode>General</formatCode>
                  <v>0</v>
                </pt>
                <pt idx="14">
                  <formatCode>General</formatCode>
                  <v>10</v>
                </pt>
                <pt idx="15">
                  <v>2</v>
                </pt>
                <pt idx="16">
                  <formatCode>General</formatCode>
                  <v>4</v>
                </pt>
                <pt idx="17">
                  <formatCode>General</formatCode>
                  <v>0</v>
                </pt>
                <pt idx="18">
                  <formatCode>General</formatCode>
                  <v>194</v>
                </pt>
                <pt idx="19">
                  <formatCode>General</formatCode>
                  <v>61</v>
                </pt>
                <pt idx="20">
                  <v>324</v>
                </pt>
              </numCache>
            </numRef>
          </val>
        </ser>
        <ser>
          <idx val="6"/>
          <order val="6"/>
          <tx>
            <strRef>
              <f>Лист1!$H$1:$H$3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Лист1!$H$4:$H$34</f>
              <numCache>
                <formatCode>0</formatCode>
                <ptCount val="31"/>
                <pt idx="4">
                  <v>0</v>
                </pt>
                <pt idx="5">
                  <formatCode>General</formatCode>
                  <v>11</v>
                </pt>
                <pt idx="6">
                  <formatCode>General</formatCode>
                  <v>5</v>
                </pt>
                <pt idx="7">
                  <formatCode>General</formatCode>
                  <v>0</v>
                </pt>
                <pt idx="8">
                  <formatCode>General</formatCode>
                  <v>1</v>
                </pt>
                <pt idx="9">
                  <formatCode>General</formatCode>
                  <v>0</v>
                </pt>
                <pt idx="10">
                  <formatCode>General</formatCode>
                  <v>5</v>
                </pt>
                <pt idx="11">
                  <formatCode>General</formatCode>
                  <v>1</v>
                </pt>
                <pt idx="12">
                  <formatCode>General</formatCode>
                  <v>7</v>
                </pt>
                <pt idx="13">
                  <formatCode>General</formatCode>
                  <v>0</v>
                </pt>
                <pt idx="14">
                  <formatCode>General</formatCode>
                  <v>4</v>
                </pt>
                <pt idx="15">
                  <v>5</v>
                </pt>
                <pt idx="16">
                  <formatCode>General</formatCode>
                  <v>1</v>
                </pt>
                <pt idx="17">
                  <formatCode>General</formatCode>
                  <v>1</v>
                </pt>
                <pt idx="18">
                  <formatCode>General</formatCode>
                  <v>21</v>
                </pt>
                <pt idx="19">
                  <formatCode>General</formatCode>
                  <v>0</v>
                </pt>
                <pt idx="20">
                  <v>62</v>
                </pt>
              </numCache>
            </numRef>
          </val>
        </ser>
        <ser>
          <idx val="7"/>
          <order val="7"/>
          <tx>
            <strRef>
              <f>Лист1!$I$1:$I$3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Лист1!$I$4:$I$34</f>
              <numCache>
                <formatCode>0</formatCode>
                <ptCount val="31"/>
                <pt idx="2">
                  <v>0</v>
                </pt>
                <pt idx="5">
                  <formatCode>General</formatCode>
                  <v>59</v>
                </pt>
                <pt idx="6">
                  <formatCode>General</formatCode>
                  <v>17</v>
                </pt>
                <pt idx="7">
                  <formatCode>General</formatCode>
                  <v>14</v>
                </pt>
                <pt idx="8">
                  <formatCode>General</formatCode>
                  <v>14</v>
                </pt>
                <pt idx="9">
                  <formatCode>General</formatCode>
                  <v>24</v>
                </pt>
                <pt idx="10">
                  <formatCode>General</formatCode>
                  <v>5</v>
                </pt>
                <pt idx="11">
                  <formatCode>General</formatCode>
                  <v>34</v>
                </pt>
                <pt idx="12">
                  <formatCode>General</formatCode>
                  <v>9</v>
                </pt>
                <pt idx="13">
                  <formatCode>General</formatCode>
                  <v>17</v>
                </pt>
                <pt idx="14">
                  <formatCode>General</formatCode>
                  <v>16</v>
                </pt>
                <pt idx="15">
                  <v>17</v>
                </pt>
                <pt idx="16">
                  <formatCode>General</formatCode>
                  <v>15</v>
                </pt>
                <pt idx="17">
                  <formatCode>General</formatCode>
                  <v>27</v>
                </pt>
                <pt idx="18">
                  <formatCode>General</formatCode>
                  <v>0</v>
                </pt>
                <pt idx="19">
                  <formatCode>General</formatCode>
                  <v>0</v>
                </pt>
                <pt idx="20">
                  <v>268</v>
                </pt>
              </numCache>
            </numRef>
          </val>
        </ser>
        <ser>
          <idx val="8"/>
          <order val="8"/>
          <tx>
            <strRef>
              <f>Лист1!$J$1:$J$3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Лист1!$J$4:$J$34</f>
              <numCache>
                <formatCode>0</formatCode>
                <ptCount val="31"/>
                <pt idx="0">
                  <v>0</v>
                </pt>
                <pt idx="5">
                  <v>146</v>
                </pt>
                <pt idx="6">
                  <v>53</v>
                </pt>
                <pt idx="7">
                  <v>23</v>
                </pt>
                <pt idx="8">
                  <v>18</v>
                </pt>
                <pt idx="9">
                  <v>62</v>
                </pt>
                <pt idx="10">
                  <v>136</v>
                </pt>
                <pt idx="11">
                  <v>57</v>
                </pt>
                <pt idx="12">
                  <v>72</v>
                </pt>
                <pt idx="13">
                  <v>25</v>
                </pt>
                <pt idx="14">
                  <v>92</v>
                </pt>
                <pt idx="15">
                  <v>34</v>
                </pt>
                <pt idx="16">
                  <v>63</v>
                </pt>
                <pt idx="17">
                  <v>38</v>
                </pt>
                <pt idx="18">
                  <formatCode>General</formatCode>
                  <v>324</v>
                </pt>
                <pt idx="19">
                  <v>61</v>
                </pt>
                <pt idx="20">
                  <v>1204</v>
                </pt>
              </numCache>
            </numRef>
          </val>
        </ser>
        <ser>
          <idx val="9"/>
          <order val="9"/>
          <tx>
            <strRef>
              <f>Лист1!$K$1:$K$3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Лист1!$K$4:$K$34</f>
              <numCache>
                <formatCode>0</formatCode>
                <ptCount val="31"/>
                <pt idx="0">
                  <v>0</v>
                </pt>
                <pt idx="1">
                  <v>0</v>
                </pt>
                <pt idx="4">
                  <v>0</v>
                </pt>
                <pt idx="5">
                  <v>75</v>
                </pt>
                <pt idx="6">
                  <v>25</v>
                </pt>
                <pt idx="7">
                  <v>6</v>
                </pt>
                <pt idx="8">
                  <v>3</v>
                </pt>
                <pt idx="9">
                  <v>14</v>
                </pt>
                <pt idx="10">
                  <v>47</v>
                </pt>
                <pt idx="11">
                  <v>23</v>
                </pt>
                <pt idx="12">
                  <v>31</v>
                </pt>
                <pt idx="13">
                  <v>6</v>
                </pt>
                <pt idx="14">
                  <v>30</v>
                </pt>
                <pt idx="15">
                  <v>18</v>
                </pt>
                <pt idx="16">
                  <v>49</v>
                </pt>
                <pt idx="17">
                  <v>7</v>
                </pt>
                <pt idx="18">
                  <formatCode>General</formatCode>
                  <v>204</v>
                </pt>
                <pt idx="19">
                  <v>61</v>
                </pt>
                <pt idx="20">
                  <v>586</v>
                </pt>
                <pt idx="21">
                  <v>775</v>
                </pt>
              </numCache>
            </numRef>
          </val>
        </ser>
        <ser>
          <idx val="10"/>
          <order val="10"/>
          <tx>
            <strRef>
              <f>Лист1!$L$1:$L$3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Лист1!$L$4:$L$34</f>
              <numCache>
                <formatCode>0</formatCode>
                <ptCount val="31"/>
                <pt idx="3">
                  <v>2</v>
                </pt>
                <pt idx="4">
                  <v>0</v>
                </pt>
                <pt idx="5">
                  <v>58</v>
                </pt>
                <pt idx="6">
                  <v>4</v>
                </pt>
                <pt idx="7">
                  <v>8</v>
                </pt>
                <pt idx="8">
                  <v>14</v>
                </pt>
                <pt idx="9">
                  <v>3</v>
                </pt>
                <pt idx="10">
                  <formatCode>General</formatCode>
                  <v>5</v>
                </pt>
                <pt idx="11">
                  <v>30</v>
                </pt>
                <pt idx="12">
                  <v>8</v>
                </pt>
                <pt idx="13">
                  <v>10</v>
                </pt>
                <pt idx="14">
                  <v>7</v>
                </pt>
                <pt idx="15">
                  <v>12</v>
                </pt>
                <pt idx="16">
                  <v>14</v>
                </pt>
                <pt idx="17">
                  <v>16</v>
                </pt>
                <pt idx="18">
                  <formatCode>General</formatCode>
                  <v>0</v>
                </pt>
                <pt idx="19">
                  <v>0</v>
                </pt>
                <pt idx="20">
                  <v>189</v>
                </pt>
              </numCache>
            </numRef>
          </val>
        </ser>
        <ser>
          <idx val="11"/>
          <order val="11"/>
          <tx>
            <strRef>
              <f>Лист1!$M$1:$M$3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Лист1!$M$4:$M$34</f>
              <numCache>
                <formatCode>0</formatCode>
                <ptCount val="31"/>
                <pt idx="0">
                  <v>0</v>
                </pt>
                <pt idx="5">
                  <v>133</v>
                </pt>
                <pt idx="6">
                  <v>29</v>
                </pt>
                <pt idx="7">
                  <v>14</v>
                </pt>
                <pt idx="8">
                  <v>17</v>
                </pt>
                <pt idx="9">
                  <v>17</v>
                </pt>
                <pt idx="10">
                  <v>52</v>
                </pt>
                <pt idx="11">
                  <v>44</v>
                </pt>
                <pt idx="12">
                  <v>39</v>
                </pt>
                <pt idx="13">
                  <v>16</v>
                </pt>
                <pt idx="14">
                  <v>37</v>
                </pt>
                <pt idx="15">
                  <v>30</v>
                </pt>
                <pt idx="16">
                  <v>63</v>
                </pt>
                <pt idx="17">
                  <v>23</v>
                </pt>
                <pt idx="18">
                  <formatCode>General</formatCode>
                  <v>204</v>
                </pt>
                <pt idx="19">
                  <v>61</v>
                </pt>
                <pt idx="20">
                  <v>775</v>
                </pt>
              </numCache>
            </numRef>
          </val>
        </ser>
        <ser>
          <idx val="12"/>
          <order val="12"/>
          <tx>
            <strRef>
              <f>Лист1!$N$1:$N$3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Лист1!$N$4:$N$34</f>
              <numCache>
                <formatCode>0</formatCode>
                <ptCount val="31"/>
                <pt idx="0">
                  <v>0</v>
                </pt>
                <pt idx="3">
                  <v>3</v>
                </pt>
                <pt idx="4">
                  <v>0</v>
                </pt>
                <pt idx="5">
                  <formatCode>General</formatCode>
                  <v>3</v>
                </pt>
                <pt idx="6">
                  <formatCode>General</formatCode>
                  <v>2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18</v>
                </pt>
                <pt idx="10">
                  <formatCode>General</formatCode>
                  <v>12</v>
                </pt>
                <pt idx="11">
                  <formatCode>General</formatCode>
                  <v>1</v>
                </pt>
                <pt idx="12">
                  <formatCode>General</formatCode>
                  <v>1</v>
                </pt>
                <pt idx="13">
                  <formatCode>General</formatCode>
                  <v>0</v>
                </pt>
                <pt idx="14">
                  <formatCode>General</formatCode>
                  <v>2</v>
                </pt>
                <pt idx="15">
                  <v>6</v>
                </pt>
                <pt idx="16">
                  <formatCode>General</formatCode>
                  <v>8</v>
                </pt>
                <pt idx="17">
                  <formatCode>General</formatCode>
                  <v>0</v>
                </pt>
                <pt idx="18">
                  <formatCode>General</formatCode>
                  <v>38</v>
                </pt>
                <pt idx="19">
                  <formatCode>General</formatCode>
                  <v>0</v>
                </pt>
                <pt idx="20">
                  <v>91</v>
                </pt>
                <pt idx="21">
                  <v>109</v>
                </pt>
              </numCache>
            </numRef>
          </val>
        </ser>
        <ser>
          <idx val="13"/>
          <order val="13"/>
          <tx>
            <strRef>
              <f>Лист1!$O$1:$O$3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Лист1!$O$4:$O$34</f>
              <numCache>
                <formatCode>0</formatCode>
                <ptCount val="31"/>
                <pt idx="3">
                  <v>4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11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4</v>
                </pt>
                <pt idx="10">
                  <formatCode>General</formatCode>
                  <v>0</v>
                </pt>
                <pt idx="11">
                  <formatCode>General</formatCode>
                  <v>0</v>
                </pt>
                <pt idx="12">
                  <formatCode>General</formatCode>
                  <v>0</v>
                </pt>
                <pt idx="13">
                  <formatCode>General</formatCode>
                  <v>0</v>
                </pt>
                <pt idx="14">
                  <formatCode>General</formatCode>
                  <v>0</v>
                </pt>
                <pt idx="15">
                  <v>1</v>
                </pt>
                <pt idx="16">
                  <formatCode>General</formatCode>
                  <v>0</v>
                </pt>
                <pt idx="17">
                  <formatCode>General</formatCode>
                  <v>2</v>
                </pt>
                <pt idx="18">
                  <formatCode>General</formatCode>
                  <v>0</v>
                </pt>
                <pt idx="19">
                  <formatCode>General</formatCode>
                  <v>0</v>
                </pt>
                <pt idx="20">
                  <v>18</v>
                </pt>
              </numCache>
            </numRef>
          </val>
        </ser>
        <ser>
          <idx val="14"/>
          <order val="14"/>
          <tx>
            <strRef>
              <f>Лист1!$P$1:$P$3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Лист1!$P$4:$P$34</f>
              <numCache>
                <formatCode>0</formatCode>
                <ptCount val="31"/>
                <pt idx="0">
                  <v>0</v>
                </pt>
                <pt idx="3">
                  <v>5</v>
                </pt>
                <pt idx="4">
                  <v>0</v>
                </pt>
                <pt idx="5">
                  <formatCode>General</formatCode>
                  <v>2</v>
                </pt>
                <pt idx="6">
                  <formatCode>General</formatCode>
                  <v>0</v>
                </pt>
                <pt idx="7">
                  <formatCode>General</formatCode>
                  <v>3</v>
                </pt>
                <pt idx="8">
                  <formatCode>General</formatCode>
                  <v>0</v>
                </pt>
                <pt idx="9">
                  <formatCode>General</formatCode>
                  <v>3</v>
                </pt>
                <pt idx="10">
                  <formatCode>General</formatCode>
                  <v>30</v>
                </pt>
                <pt idx="11">
                  <formatCode>General</formatCode>
                  <v>2</v>
                </pt>
                <pt idx="12">
                  <formatCode>General</formatCode>
                  <v>3</v>
                </pt>
                <pt idx="13">
                  <formatCode>General</formatCode>
                  <v>0</v>
                </pt>
                <pt idx="14">
                  <formatCode>General</formatCode>
                  <v>12</v>
                </pt>
                <pt idx="15">
                  <v>1</v>
                </pt>
                <pt idx="16">
                  <formatCode>General</formatCode>
                  <v>0</v>
                </pt>
                <pt idx="17">
                  <formatCode>General</formatCode>
                  <v>0</v>
                </pt>
                <pt idx="18">
                  <formatCode>General</formatCode>
                  <v>7</v>
                </pt>
                <pt idx="19">
                  <formatCode>General</formatCode>
                  <v>0</v>
                </pt>
                <pt idx="20">
                  <v>63</v>
                </pt>
                <pt idx="21">
                  <v>65</v>
                </pt>
              </numCache>
            </numRef>
          </val>
        </ser>
        <ser>
          <idx val="15"/>
          <order val="15"/>
          <tx>
            <strRef>
              <f>Лист1!$Q$1:$Q$3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Лист1!$Q$4:$Q$34</f>
              <numCache>
                <formatCode>0</formatCode>
                <ptCount val="31"/>
                <pt idx="3">
                  <v>6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0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0</v>
                </pt>
                <pt idx="10">
                  <formatCode>General</formatCode>
                  <v>0</v>
                </pt>
                <pt idx="11">
                  <formatCode>General</formatCode>
                  <v>0</v>
                </pt>
                <pt idx="12">
                  <formatCode>General</formatCode>
                  <v>0</v>
                </pt>
                <pt idx="13">
                  <formatCode>General</formatCode>
                  <v>0</v>
                </pt>
                <pt idx="14">
                  <formatCode>General</formatCode>
                  <v>2</v>
                </pt>
                <pt idx="15">
                  <v>0</v>
                </pt>
                <pt idx="16">
                  <formatCode>General</formatCode>
                  <v>0</v>
                </pt>
                <pt idx="17">
                  <formatCode>General</formatCode>
                  <v>0</v>
                </pt>
                <pt idx="19">
                  <formatCode>General</formatCode>
                  <v>0</v>
                </pt>
                <pt idx="20">
                  <v>2</v>
                </pt>
              </numCache>
            </numRef>
          </val>
        </ser>
        <ser>
          <idx val="16"/>
          <order val="16"/>
          <tx>
            <strRef>
              <f>Лист1!$R$1:$R$3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Лист1!$R$4:$R$34</f>
              <numCache>
                <formatCode>0</formatCode>
                <ptCount val="31"/>
                <pt idx="0">
                  <v>0</v>
                </pt>
                <pt idx="3">
                  <v>7</v>
                </pt>
                <pt idx="4">
                  <v>0</v>
                </pt>
                <pt idx="5">
                  <formatCode>General</formatCode>
                  <v>6</v>
                </pt>
                <pt idx="6">
                  <formatCode>General</formatCode>
                  <v>5</v>
                </pt>
                <pt idx="7">
                  <formatCode>General</formatCode>
                  <v>0</v>
                </pt>
                <pt idx="8">
                  <formatCode>General</formatCode>
                  <v>1</v>
                </pt>
                <pt idx="9">
                  <formatCode>General</formatCode>
                  <v>0</v>
                </pt>
                <pt idx="10">
                  <formatCode>General</formatCode>
                  <v>15</v>
                </pt>
                <pt idx="11">
                  <formatCode>General</formatCode>
                  <v>3</v>
                </pt>
                <pt idx="12">
                  <formatCode>General</formatCode>
                  <v>9</v>
                </pt>
                <pt idx="13">
                  <formatCode>General</formatCode>
                  <v>2</v>
                </pt>
                <pt idx="14">
                  <formatCode>General</formatCode>
                  <v>6</v>
                </pt>
                <pt idx="15">
                  <v>2</v>
                </pt>
                <pt idx="16">
                  <formatCode>General</formatCode>
                  <v>9</v>
                </pt>
                <pt idx="17">
                  <formatCode>General</formatCode>
                  <v>1</v>
                </pt>
                <pt idx="18">
                  <formatCode>General</formatCode>
                  <v>17</v>
                </pt>
                <pt idx="19">
                  <formatCode>General</formatCode>
                  <v>0</v>
                </pt>
                <pt idx="20">
                  <v>76</v>
                </pt>
                <pt idx="21">
                  <v>91</v>
                </pt>
              </numCache>
            </numRef>
          </val>
        </ser>
        <ser>
          <idx val="17"/>
          <order val="17"/>
          <tx>
            <strRef>
              <f>Лист1!$S$1:$S$3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Лист1!$S$4:$S$34</f>
              <numCache>
                <formatCode>0</formatCode>
                <ptCount val="31"/>
                <pt idx="3">
                  <v>8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2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0</v>
                </pt>
                <pt idx="10">
                  <formatCode>General</formatCode>
                  <v>0</v>
                </pt>
                <pt idx="11">
                  <formatCode>General</formatCode>
                  <v>1</v>
                </pt>
                <pt idx="12">
                  <formatCode>General</formatCode>
                  <v>0</v>
                </pt>
                <pt idx="13">
                  <formatCode>General</formatCode>
                  <v>4</v>
                </pt>
                <pt idx="14">
                  <formatCode>General</formatCode>
                  <v>4</v>
                </pt>
                <pt idx="15">
                  <v>2</v>
                </pt>
                <pt idx="16">
                  <formatCode>General</formatCode>
                  <v>1</v>
                </pt>
                <pt idx="17">
                  <formatCode>General</formatCode>
                  <v>1</v>
                </pt>
                <pt idx="18">
                  <formatCode>General</formatCode>
                  <v>0</v>
                </pt>
                <pt idx="19">
                  <formatCode>General</formatCode>
                  <v>0</v>
                </pt>
                <pt idx="20">
                  <v>15</v>
                </pt>
              </numCache>
            </numRef>
          </val>
        </ser>
        <ser>
          <idx val="18"/>
          <order val="18"/>
          <tx>
            <strRef>
              <f>Лист1!$T$1:$T$3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Лист1!$T$4:$T$34</f>
              <numCache>
                <formatCode>0</formatCode>
                <ptCount val="31"/>
                <pt idx="0">
                  <v>0</v>
                </pt>
                <pt idx="3">
                  <v>9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1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1</v>
                </pt>
                <pt idx="10">
                  <formatCode>General</formatCode>
                  <v>17</v>
                </pt>
                <pt idx="11">
                  <formatCode>General</formatCode>
                  <v>0</v>
                </pt>
                <pt idx="12">
                  <formatCode>General</formatCode>
                  <v>3</v>
                </pt>
                <pt idx="13">
                  <formatCode>General</formatCode>
                  <v>0</v>
                </pt>
                <pt idx="14">
                  <formatCode>General</formatCode>
                  <v>5</v>
                </pt>
                <pt idx="15">
                  <v>2</v>
                </pt>
                <pt idx="16">
                  <formatCode>General</formatCode>
                  <v>0</v>
                </pt>
                <pt idx="17">
                  <formatCode>General</formatCode>
                  <v>0</v>
                </pt>
                <pt idx="18">
                  <formatCode>General</formatCode>
                  <v>3</v>
                </pt>
                <pt idx="19">
                  <formatCode>General</formatCode>
                  <v>0</v>
                </pt>
                <pt idx="20">
                  <v>32</v>
                </pt>
                <pt idx="21">
                  <v>56</v>
                </pt>
              </numCache>
            </numRef>
          </val>
        </ser>
        <ser>
          <idx val="19"/>
          <order val="19"/>
          <tx>
            <strRef>
              <f>Лист1!$U$1:$U$3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Лист1!$U$4:$U$34</f>
              <numCache>
                <formatCode>0</formatCode>
                <ptCount val="31"/>
                <pt idx="3">
                  <v>10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0</v>
                </pt>
                <pt idx="7">
                  <formatCode>General</formatCode>
                  <v>1</v>
                </pt>
                <pt idx="8">
                  <formatCode>General</formatCode>
                  <v>0</v>
                </pt>
                <pt idx="9">
                  <formatCode>General</formatCode>
                  <v>14</v>
                </pt>
                <pt idx="10">
                  <formatCode>General</formatCode>
                  <v>0</v>
                </pt>
                <pt idx="11">
                  <formatCode>General</formatCode>
                  <v>0</v>
                </pt>
                <pt idx="12">
                  <formatCode>General</formatCode>
                  <v>0</v>
                </pt>
                <pt idx="13">
                  <formatCode>General</formatCode>
                  <v>2</v>
                </pt>
                <pt idx="14">
                  <formatCode>General</formatCode>
                  <v>1</v>
                </pt>
                <pt idx="15">
                  <v>1</v>
                </pt>
                <pt idx="16">
                  <formatCode>General</formatCode>
                  <v>0</v>
                </pt>
                <pt idx="17">
                  <formatCode>General</formatCode>
                  <v>5</v>
                </pt>
                <pt idx="18">
                  <formatCode>General</formatCode>
                  <v>0</v>
                </pt>
                <pt idx="19">
                  <formatCode>General</formatCode>
                  <v>0</v>
                </pt>
                <pt idx="20">
                  <v>24</v>
                </pt>
              </numCache>
            </numRef>
          </val>
        </ser>
        <ser>
          <idx val="20"/>
          <order val="20"/>
          <tx>
            <strRef>
              <f>Лист1!$V$1:$V$3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Лист1!$V$4:$V$34</f>
              <numCache>
                <formatCode>0</formatCode>
                <ptCount val="31"/>
                <pt idx="0">
                  <v>0</v>
                </pt>
                <pt idx="3">
                  <v>11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1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0</v>
                </pt>
                <pt idx="10">
                  <formatCode>General</formatCode>
                  <v>8</v>
                </pt>
                <pt idx="11">
                  <formatCode>General</formatCode>
                  <v>1</v>
                </pt>
                <pt idx="12">
                  <formatCode>General</formatCode>
                  <v>1</v>
                </pt>
                <pt idx="13">
                  <formatCode>General</formatCode>
                  <v>0</v>
                </pt>
                <pt idx="14">
                  <formatCode>General</formatCode>
                  <v>10</v>
                </pt>
                <pt idx="15">
                  <v>0</v>
                </pt>
                <pt idx="16">
                  <formatCode>General</formatCode>
                  <v>1</v>
                </pt>
                <pt idx="17">
                  <formatCode>General</formatCode>
                  <v>0</v>
                </pt>
                <pt idx="18">
                  <formatCode>General</formatCode>
                  <v>8</v>
                </pt>
                <pt idx="19">
                  <formatCode>General</formatCode>
                  <v>0</v>
                </pt>
                <pt idx="20">
                  <v>30</v>
                </pt>
                <pt idx="21">
                  <v>35</v>
                </pt>
              </numCache>
            </numRef>
          </val>
        </ser>
        <ser>
          <idx val="21"/>
          <order val="21"/>
          <tx>
            <strRef>
              <f>Лист1!$W$1:$W$3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Лист1!$W$4:$W$34</f>
              <numCache>
                <formatCode>0</formatCode>
                <ptCount val="31"/>
                <pt idx="3">
                  <v>12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0</v>
                </pt>
                <pt idx="7">
                  <formatCode>General</formatCode>
                  <v>3</v>
                </pt>
                <pt idx="8">
                  <formatCode>General</formatCode>
                  <v>0</v>
                </pt>
                <pt idx="9">
                  <formatCode>General</formatCode>
                  <v>0</v>
                </pt>
                <pt idx="10">
                  <formatCode>General</formatCode>
                  <v>0</v>
                </pt>
                <pt idx="11">
                  <formatCode>General</formatCode>
                  <v>1</v>
                </pt>
                <pt idx="12">
                  <formatCode>General</formatCode>
                  <v>0</v>
                </pt>
                <pt idx="13">
                  <formatCode>General</formatCode>
                  <v>0</v>
                </pt>
                <pt idx="14">
                  <formatCode>General</formatCode>
                  <v>1</v>
                </pt>
                <pt idx="15">
                  <v>0</v>
                </pt>
                <pt idx="16">
                  <formatCode>General</formatCode>
                  <v>0</v>
                </pt>
                <pt idx="17">
                  <formatCode>General</formatCode>
                  <v>0</v>
                </pt>
                <pt idx="18">
                  <formatCode>General</formatCode>
                  <v>0</v>
                </pt>
                <pt idx="19">
                  <formatCode>General</formatCode>
                  <v>0</v>
                </pt>
                <pt idx="20">
                  <v>5</v>
                </pt>
              </numCache>
            </numRef>
          </val>
        </ser>
        <ser>
          <idx val="22"/>
          <order val="22"/>
          <tx>
            <strRef>
              <f>Лист1!$X$1:$X$3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Лист1!$X$4:$X$34</f>
              <numCache>
                <formatCode>0</formatCode>
                <ptCount val="31"/>
                <pt idx="0">
                  <v>0</v>
                </pt>
                <pt idx="3">
                  <v>13</v>
                </pt>
                <pt idx="4">
                  <v>0</v>
                </pt>
                <pt idx="5">
                  <formatCode>General</formatCode>
                  <v>1</v>
                </pt>
                <pt idx="6">
                  <formatCode>General</formatCode>
                  <v>0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2</v>
                </pt>
                <pt idx="10">
                  <formatCode>General</formatCode>
                  <v>0</v>
                </pt>
                <pt idx="11">
                  <formatCode>General</formatCode>
                  <v>0</v>
                </pt>
                <pt idx="12">
                  <formatCode>General</formatCode>
                  <v>0</v>
                </pt>
                <pt idx="13">
                  <formatCode>General</formatCode>
                  <v>0</v>
                </pt>
                <pt idx="14">
                  <formatCode>General</formatCode>
                  <v>1</v>
                </pt>
                <pt idx="15">
                  <v>0</v>
                </pt>
                <pt idx="16">
                  <formatCode>General</formatCode>
                  <v>0</v>
                </pt>
                <pt idx="17">
                  <formatCode>General</formatCode>
                  <v>1</v>
                </pt>
                <pt idx="18">
                  <formatCode>General</formatCode>
                  <v>17</v>
                </pt>
                <pt idx="19">
                  <formatCode>General</formatCode>
                  <v>0</v>
                </pt>
                <pt idx="20">
                  <v>22</v>
                </pt>
                <pt idx="21">
                  <v>22</v>
                </pt>
              </numCache>
            </numRef>
          </val>
        </ser>
        <ser>
          <idx val="23"/>
          <order val="23"/>
          <tx>
            <strRef>
              <f>Лист1!$Y$1:$Y$3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Лист1!$Y$4:$Y$34</f>
              <numCache>
                <formatCode>0</formatCode>
                <ptCount val="31"/>
                <pt idx="3">
                  <v>14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0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0</v>
                </pt>
                <pt idx="10">
                  <formatCode>General</formatCode>
                  <v>0</v>
                </pt>
                <pt idx="11">
                  <formatCode>General</formatCode>
                  <v>0</v>
                </pt>
                <pt idx="12">
                  <formatCode>General</formatCode>
                  <v>0</v>
                </pt>
                <pt idx="13">
                  <formatCode>General</formatCode>
                  <v>0</v>
                </pt>
                <pt idx="14">
                  <formatCode>General</formatCode>
                  <v>0</v>
                </pt>
                <pt idx="15">
                  <v>0</v>
                </pt>
                <pt idx="16">
                  <formatCode>General</formatCode>
                  <v>0</v>
                </pt>
                <pt idx="17">
                  <formatCode>General</formatCode>
                  <v>0</v>
                </pt>
                <pt idx="18">
                  <formatCode>General</formatCode>
                  <v>0</v>
                </pt>
                <pt idx="19">
                  <formatCode>General</formatCode>
                  <v>0</v>
                </pt>
                <pt idx="20">
                  <v>0</v>
                </pt>
              </numCache>
            </numRef>
          </val>
        </ser>
        <ser>
          <idx val="24"/>
          <order val="24"/>
          <tx>
            <strRef>
              <f>Лист1!$Z$1:$Z$3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Лист1!$Z$4:$Z$34</f>
              <numCache>
                <formatCode>0</formatCode>
                <ptCount val="31"/>
                <pt idx="0">
                  <v>0</v>
                </pt>
                <pt idx="3">
                  <v>15</v>
                </pt>
                <pt idx="4">
                  <v>0</v>
                </pt>
                <pt idx="5">
                  <formatCode>General</formatCode>
                  <v>0</v>
                </pt>
                <pt idx="6">
                  <formatCode>General</formatCode>
                  <v>1</v>
                </pt>
                <pt idx="7">
                  <formatCode>General</formatCode>
                  <v>0</v>
                </pt>
                <pt idx="8">
                  <formatCode>General</formatCode>
                  <v>0</v>
                </pt>
                <pt idx="9">
                  <formatCode>General</formatCode>
                  <v>0</v>
                </pt>
                <pt idx="10">
                  <formatCode>General</formatCode>
                  <v>2</v>
                </pt>
                <pt idx="11">
                  <formatCode>General</formatCode>
                  <v>0</v>
                </pt>
                <pt idx="12">
                  <formatCode>General</formatCode>
                  <v>1</v>
                </pt>
                <pt idx="13">
                  <formatCode>General</formatCode>
                  <v>0</v>
                </pt>
                <pt idx="14">
                  <formatCode>General</formatCode>
                  <v>0</v>
                </pt>
                <pt idx="15">
                  <v>1</v>
                </pt>
                <pt idx="16">
                  <formatCode>General</formatCode>
                  <v>1</v>
                </pt>
                <pt idx="17">
                  <formatCode>General</formatCode>
                  <v>0</v>
                </pt>
                <pt idx="18">
                  <formatCode>General</formatCode>
                  <v>4</v>
                </pt>
                <pt idx="19">
                  <formatCode>General</formatCode>
                  <v>0</v>
                </pt>
                <pt idx="20">
                  <v>10</v>
                </pt>
                <pt idx="21">
                  <v>25</v>
                </pt>
              </numCache>
            </numRef>
          </val>
        </ser>
        <ser>
          <idx val="25"/>
          <order val="25"/>
          <tx>
            <strRef>
              <f>Лист1!$AA$1:$AA$3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Лист1!$AA$4:$AA$34</f>
              <numCache>
                <formatCode>0</formatCode>
                <ptCount val="31"/>
                <pt idx="3">
                  <v>16</v>
                </pt>
                <pt idx="4">
                  <v>0</v>
                </pt>
                <pt idx="5">
                  <formatCode>General</formatCode>
                  <v>1</v>
                </pt>
                <pt idx="6">
                  <formatCode>General</formatCode>
                  <v>0</v>
                </pt>
                <pt idx="7">
                  <formatCode>General</formatCode>
                  <v>2</v>
                </pt>
                <pt idx="8">
                  <formatCode>General</formatCode>
                  <v>0</v>
                </pt>
                <pt idx="9">
                  <formatCode>General</formatCode>
                  <v>3</v>
                </pt>
                <pt idx="10">
                  <formatCode>General</formatCode>
                  <v>0</v>
                </pt>
                <pt idx="11">
                  <formatCode>General</formatCode>
                  <v>2</v>
                </pt>
                <pt idx="12">
                  <formatCode>General</formatCode>
                  <v>1</v>
                </pt>
                <pt idx="13">
                  <formatCode>General</formatCode>
                  <v>1</v>
                </pt>
                <pt idx="14">
                  <formatCode>General</formatCode>
                  <v>1</v>
                </pt>
                <pt idx="15">
                  <v>1</v>
                </pt>
                <pt idx="16">
                  <formatCode>General</formatCode>
                  <v>0</v>
                </pt>
                <pt idx="17">
                  <formatCode>General</formatCode>
                  <v>3</v>
                </pt>
                <pt idx="18">
                  <formatCode>General</formatCode>
                  <v>0</v>
                </pt>
                <pt idx="19">
                  <formatCode>General</formatCode>
                  <v>0</v>
                </pt>
                <pt idx="20">
                  <v>15</v>
                </pt>
              </numCache>
            </numRef>
          </val>
        </ser>
        <ser>
          <idx val="26"/>
          <order val="26"/>
          <tx>
            <strRef>
              <f>Лист1!$AB$1:$AB$3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Лист1!$AB$4:$AB$34</f>
              <numCache>
                <formatCode>0</formatCode>
                <ptCount val="31"/>
                <pt idx="0">
                  <v>0</v>
                </pt>
                <pt idx="3">
                  <v>17</v>
                </pt>
                <pt idx="15">
                  <v>13</v>
                </pt>
                <pt idx="16">
                  <v>20</v>
                </pt>
                <pt idx="21">
                  <v>33</v>
                </pt>
              </numCache>
            </numRef>
          </val>
        </ser>
        <ser>
          <idx val="27"/>
          <order val="27"/>
          <tx>
            <strRef>
              <f>Лист1!$AC$1:$AC$3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Лист1!$AC$4:$AC$34</f>
              <numCache>
                <formatCode>0</formatCode>
                <ptCount val="31"/>
                <pt idx="0">
                  <v>0</v>
                </pt>
                <pt idx="3">
                  <v>18</v>
                </pt>
                <pt idx="15">
                  <v>0</v>
                </pt>
                <pt idx="16">
                  <v>0</v>
                </pt>
              </numCache>
            </numRef>
          </val>
        </ser>
        <ser>
          <idx val="28"/>
          <order val="28"/>
          <tx>
            <strRef>
              <f>Лист1!$AD$1:$AD$3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Лист1!$AD$4:$AD$34</f>
              <numCache>
                <formatCode>0</formatCode>
                <ptCount val="31"/>
                <pt idx="0">
                  <v>0</v>
                </pt>
                <pt idx="3">
                  <v>19</v>
                </pt>
                <pt idx="6">
                  <v>1</v>
                </pt>
                <pt idx="10">
                  <v>1</v>
                </pt>
                <pt idx="12">
                  <v>14</v>
                </pt>
                <pt idx="14">
                  <v>10</v>
                </pt>
                <pt idx="18">
                  <formatCode>General</formatCode>
                  <v>7</v>
                </pt>
                <pt idx="21">
                  <v>33</v>
                </pt>
              </numCache>
            </numRef>
          </val>
        </ser>
        <ser>
          <idx val="29"/>
          <order val="29"/>
          <tx>
            <strRef>
              <f>Лист1!$AE$1:$AE$3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Лист1!$AE$4:$AE$34</f>
              <numCache>
                <formatCode>0</formatCode>
                <ptCount val="31"/>
                <pt idx="0">
                  <v>0</v>
                </pt>
                <pt idx="3">
                  <v>20</v>
                </pt>
                <pt idx="6">
                  <v>0</v>
                </pt>
                <pt idx="10">
                  <v>0</v>
                </pt>
                <pt idx="12">
                  <v>0</v>
                </pt>
                <pt idx="14">
                  <v>0</v>
                </pt>
                <pt idx="18">
                  <formatCode>General</formatCode>
                  <v>0</v>
                </pt>
              </numCache>
            </numRef>
          </val>
        </ser>
        <ser>
          <idx val="30"/>
          <order val="30"/>
          <tx>
            <strRef>
              <f>Лист1!$AF$1:$AF$3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Лист1!$AF$4:$AF$34</f>
              <numCache>
                <formatCode>0</formatCode>
                <ptCount val="31"/>
                <pt idx="0">
                  <v>0</v>
                </pt>
                <pt idx="3">
                  <formatCode>General</formatCode>
                  <v>21</v>
                </pt>
              </numCache>
            </numRef>
          </val>
        </ser>
        <ser>
          <idx val="31"/>
          <order val="31"/>
          <tx>
            <strRef>
              <f>Лист1!$AG$1:$AG$3</f>
              <strCache>
                <ptCount val="1"/>
                <pt idx="0">
                  <v xml:space="preserve">Строевая записка 
Ногинского спасательного центра на 02 июня 2026 года 
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Лист1!$A$4:$A$34</f>
              <strCache>
                <ptCount val="24"/>
                <pt idx="0">
                  <v>Отметка о внесенных изменениях</v>
                </pt>
                <pt idx="6">
                  <v>+</v>
                </pt>
                <pt idx="9">
                  <v>+</v>
                </pt>
                <pt idx="13">
                  <v>+</v>
                </pt>
                <pt idx="14">
                  <v>+</v>
                </pt>
                <pt idx="15">
                  <v>+</v>
                </pt>
                <pt idx="17">
                  <v>+</v>
                </pt>
                <pt idx="22">
                  <v>ОБРАТИТЬ ВНИМАНИЕ!!!!!</v>
                </pt>
                <pt idx="23">
                  <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v>
                </pt>
              </strCache>
            </strRef>
          </cat>
          <val>
            <numRef>
              <f>Лист1!$AG$4:$AG$34</f>
              <numCache>
                <formatCode>0</formatCode>
                <ptCount val="31"/>
                <pt idx="0">
                  <v>0</v>
                </pt>
                <pt idx="3">
                  <formatCode>General</formatCode>
                  <v>22</v>
                </pt>
                <pt idx="2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7830144"/>
        <axId val="79621504"/>
      </barChart>
      <catAx>
        <axId val="11783014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79621504"/>
        <crosses val="autoZero"/>
        <auto val="1"/>
        <lblAlgn val="ctr"/>
        <lblOffset val="100"/>
        <noMultiLvlLbl val="0"/>
      </catAx>
      <valAx>
        <axId val="79621504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11783014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Pr/>
  <sheetViews>
    <sheetView zoomScale="115"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"/>
  <sheetViews>
    <sheetView tabSelected="1" zoomScale="86" zoomScaleNormal="86" zoomScaleSheetLayoutView="70" workbookViewId="0">
      <selection activeCell="X21" sqref="X21"/>
    </sheetView>
  </sheetViews>
  <sheetFormatPr baseColWidth="8" defaultRowHeight="15"/>
  <cols>
    <col width="11.85546875" customWidth="1" style="34" min="1" max="1"/>
    <col width="14.42578125" customWidth="1" style="34" min="2" max="2"/>
    <col width="6.42578125" customWidth="1" style="34" min="3" max="4"/>
    <col width="6.85546875" customWidth="1" style="34" min="5" max="5"/>
    <col width="6.42578125" customWidth="1" style="34" min="6" max="6"/>
    <col width="6.140625" customWidth="1" style="34" min="7" max="7"/>
    <col width="7" customWidth="1" style="34" min="8" max="8"/>
    <col width="7.42578125" customWidth="1" style="34" min="9" max="9"/>
    <col width="6.42578125" customWidth="1" style="34" min="10" max="10"/>
    <col width="7.42578125" customWidth="1" style="34" min="11" max="11"/>
    <col width="7" customWidth="1" style="34" min="12" max="12"/>
    <col width="7.42578125" customWidth="1" style="34" min="13" max="13"/>
    <col width="7.140625" customWidth="1" style="34" min="14" max="14"/>
    <col width="7.42578125" customWidth="1" style="34" min="15" max="15"/>
    <col width="7.140625" customWidth="1" style="34" min="16" max="16"/>
    <col width="7" customWidth="1" style="34" min="17" max="17"/>
    <col width="8" customWidth="1" style="34" min="18" max="19"/>
    <col width="7.42578125" customWidth="1" style="34" min="20" max="21"/>
    <col width="7.85546875" customWidth="1" style="34" min="22" max="22"/>
    <col width="8.42578125" customWidth="1" style="34" min="23" max="23"/>
    <col width="8" customWidth="1" style="34" min="24" max="24"/>
    <col width="7.42578125" customWidth="1" style="34" min="25" max="25"/>
    <col width="7.85546875" customWidth="1" style="34" min="26" max="26"/>
    <col width="7.42578125" customWidth="1" style="34" min="27" max="27"/>
    <col width="4.42578125" customWidth="1" style="34" min="28" max="28"/>
    <col width="9.42578125" customWidth="1" style="34" min="29" max="29"/>
    <col width="5.42578125" customWidth="1" style="34" min="30" max="30"/>
    <col width="4.42578125" customWidth="1" style="34" min="32" max="32"/>
  </cols>
  <sheetData>
    <row r="1">
      <c r="B1" s="127" t="inlineStr">
        <is>
          <t xml:space="preserve">Строевая записка 
Ногинского спасательного центра на 02.06.2026 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</row>
    <row r="2"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</row>
    <row r="3" ht="15.75" customHeight="1" s="34" thickBot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</row>
    <row r="4" ht="15.75" customHeight="1" s="34" thickBot="1">
      <c r="A4" s="140" t="inlineStr">
        <is>
          <t>Отметка о внесенных изменениях</t>
        </is>
      </c>
      <c r="B4" s="143" t="inlineStr">
        <is>
          <t>Подразделение</t>
        </is>
      </c>
      <c r="C4" s="130" t="inlineStr">
        <is>
          <t>по штату</t>
        </is>
      </c>
      <c r="D4" s="147" t="n"/>
      <c r="E4" s="144" t="inlineStr">
        <is>
          <t>всего</t>
        </is>
      </c>
      <c r="F4" s="131" t="inlineStr">
        <is>
          <t xml:space="preserve">по </t>
        </is>
      </c>
      <c r="G4" s="148" t="n"/>
      <c r="H4" s="148" t="n"/>
      <c r="I4" s="149" t="n"/>
      <c r="J4" s="137" t="inlineStr">
        <is>
          <t>всего</t>
        </is>
      </c>
      <c r="K4" s="131" t="inlineStr">
        <is>
          <t>на</t>
        </is>
      </c>
      <c r="L4" s="149" t="n"/>
      <c r="M4" s="137" t="inlineStr">
        <is>
          <t>всего</t>
        </is>
      </c>
      <c r="N4" s="124" t="inlineStr">
        <is>
          <t>наряд</t>
        </is>
      </c>
      <c r="O4" s="147" t="n"/>
      <c r="P4" s="124" t="inlineStr">
        <is>
          <t>ком-ка</t>
        </is>
      </c>
      <c r="Q4" s="147" t="n"/>
      <c r="R4" s="124" t="inlineStr">
        <is>
          <t>отпуск</t>
        </is>
      </c>
      <c r="S4" s="147" t="n"/>
      <c r="T4" s="124" t="inlineStr">
        <is>
          <t>выходной</t>
        </is>
      </c>
      <c r="U4" s="147" t="n"/>
      <c r="V4" s="124" t="inlineStr">
        <is>
          <t>выезд</t>
        </is>
      </c>
      <c r="W4" s="147" t="n"/>
      <c r="X4" s="124" t="inlineStr">
        <is>
          <t>госп/санчасть</t>
        </is>
      </c>
      <c r="Y4" s="147" t="n"/>
      <c r="Z4" s="124" t="inlineStr">
        <is>
          <t>освобождение по болезни</t>
        </is>
      </c>
      <c r="AA4" s="147" t="n"/>
      <c r="AB4" s="123" t="inlineStr">
        <is>
          <t>приком (сумма)</t>
        </is>
      </c>
      <c r="AC4" s="123" t="inlineStr">
        <is>
          <t>приком (люди)</t>
        </is>
      </c>
      <c r="AD4" s="123" t="inlineStr">
        <is>
          <t>Отком (сумма)</t>
        </is>
      </c>
      <c r="AE4" s="123" t="inlineStr">
        <is>
          <t>Отком (люди)</t>
        </is>
      </c>
      <c r="AF4" s="123" t="inlineStr">
        <is>
          <t>в расп (сумма)</t>
        </is>
      </c>
      <c r="AG4" s="123" t="inlineStr">
        <is>
          <t>в расп (люди)</t>
        </is>
      </c>
    </row>
    <row r="5" ht="15.75" customHeight="1" s="34" thickBot="1">
      <c r="A5" s="150" t="n"/>
      <c r="B5" s="151" t="n"/>
      <c r="C5" s="152" t="n"/>
      <c r="D5" s="151" t="n"/>
      <c r="E5" s="153" t="n"/>
      <c r="F5" s="131" t="inlineStr">
        <is>
          <t>списку</t>
        </is>
      </c>
      <c r="G5" s="148" t="n"/>
      <c r="H5" s="148" t="n"/>
      <c r="I5" s="149" t="n"/>
      <c r="J5" s="153" t="n"/>
      <c r="K5" s="131" t="inlineStr">
        <is>
          <t xml:space="preserve"> лицо</t>
        </is>
      </c>
      <c r="L5" s="149" t="n"/>
      <c r="M5" s="153" t="n"/>
      <c r="N5" s="152" t="n"/>
      <c r="O5" s="151" t="n"/>
      <c r="P5" s="152" t="n"/>
      <c r="Q5" s="151" t="n"/>
      <c r="R5" s="152" t="n"/>
      <c r="S5" s="151" t="n"/>
      <c r="T5" s="152" t="n"/>
      <c r="U5" s="151" t="n"/>
      <c r="V5" s="152" t="n"/>
      <c r="W5" s="151" t="n"/>
      <c r="X5" s="152" t="n"/>
      <c r="Y5" s="151" t="n"/>
      <c r="Z5" s="152" t="n"/>
      <c r="AA5" s="151" t="n"/>
      <c r="AB5" s="153" t="n"/>
      <c r="AC5" s="153" t="n"/>
      <c r="AD5" s="153" t="n"/>
      <c r="AE5" s="153" t="n"/>
      <c r="AF5" s="153" t="n"/>
      <c r="AG5" s="153" t="n"/>
    </row>
    <row r="6" ht="15" customHeight="1" s="34" thickBot="1">
      <c r="A6" s="150" t="n"/>
      <c r="B6" s="151" t="n"/>
      <c r="C6" s="152" t="n"/>
      <c r="D6" s="151" t="n"/>
      <c r="E6" s="153" t="n"/>
      <c r="F6" s="145" t="inlineStr">
        <is>
          <t>в/с</t>
        </is>
      </c>
      <c r="G6" s="131" t="inlineStr">
        <is>
          <t xml:space="preserve"> из них:</t>
        </is>
      </c>
      <c r="H6" s="147" t="n"/>
      <c r="I6" s="145" t="inlineStr">
        <is>
          <t>г/п</t>
        </is>
      </c>
      <c r="J6" s="153" t="n"/>
      <c r="K6" s="136" t="n"/>
      <c r="L6" s="149" t="n"/>
      <c r="M6" s="153" t="n"/>
      <c r="N6" s="154" t="n"/>
      <c r="O6" s="155" t="n"/>
      <c r="P6" s="154" t="n"/>
      <c r="Q6" s="155" t="n"/>
      <c r="R6" s="154" t="n"/>
      <c r="S6" s="155" t="n"/>
      <c r="T6" s="154" t="n"/>
      <c r="U6" s="155" t="n"/>
      <c r="V6" s="154" t="n"/>
      <c r="W6" s="155" t="n"/>
      <c r="X6" s="154" t="n"/>
      <c r="Y6" s="155" t="n"/>
      <c r="Z6" s="154" t="n"/>
      <c r="AA6" s="155" t="n"/>
      <c r="AB6" s="156" t="n"/>
      <c r="AC6" s="156" t="n"/>
      <c r="AD6" s="156" t="n"/>
      <c r="AE6" s="156" t="n"/>
      <c r="AF6" s="156" t="n"/>
      <c r="AG6" s="156" t="n"/>
    </row>
    <row r="7" ht="15.75" customHeight="1" s="34" thickBot="1">
      <c r="A7" s="150" t="n"/>
      <c r="B7" s="151" t="n"/>
      <c r="C7" s="154" t="n"/>
      <c r="D7" s="155" t="n"/>
      <c r="E7" s="153" t="n"/>
      <c r="F7" s="153" t="n"/>
      <c r="G7" s="154" t="n"/>
      <c r="H7" s="155" t="n"/>
      <c r="I7" s="153" t="n"/>
      <c r="J7" s="153" t="n"/>
      <c r="K7" s="7" t="n"/>
      <c r="L7" s="7" t="n">
        <v>2</v>
      </c>
      <c r="M7" s="153" t="n"/>
      <c r="N7" s="130" t="n">
        <v>3</v>
      </c>
      <c r="O7" s="130" t="n">
        <v>4</v>
      </c>
      <c r="P7" s="130" t="n">
        <v>5</v>
      </c>
      <c r="Q7" s="130" t="n">
        <v>6</v>
      </c>
      <c r="R7" s="130" t="n">
        <v>7</v>
      </c>
      <c r="S7" s="130" t="n">
        <v>8</v>
      </c>
      <c r="T7" s="9" t="n">
        <v>9</v>
      </c>
      <c r="U7" s="9" t="n">
        <v>10</v>
      </c>
      <c r="V7" s="130" t="n">
        <v>11</v>
      </c>
      <c r="W7" s="130" t="n">
        <v>12</v>
      </c>
      <c r="X7" s="130" t="n">
        <v>13</v>
      </c>
      <c r="Y7" s="130" t="n">
        <v>14</v>
      </c>
      <c r="Z7" s="130" t="n">
        <v>15</v>
      </c>
      <c r="AA7" s="130" t="n">
        <v>16</v>
      </c>
      <c r="AB7" s="130" t="n">
        <v>17</v>
      </c>
      <c r="AC7" s="130" t="n">
        <v>18</v>
      </c>
      <c r="AD7" s="130" t="n">
        <v>19</v>
      </c>
      <c r="AE7" s="130" t="n">
        <v>20</v>
      </c>
      <c r="AF7" s="10" t="n">
        <v>21</v>
      </c>
      <c r="AG7" s="10" t="n">
        <v>22</v>
      </c>
    </row>
    <row r="8" ht="15.75" customHeight="1" s="34" thickBot="1">
      <c r="A8" s="157" t="n"/>
      <c r="B8" s="155" t="n"/>
      <c r="C8" s="11" t="inlineStr">
        <is>
          <t>в/с</t>
        </is>
      </c>
      <c r="D8" s="11" t="inlineStr">
        <is>
          <t>г/п</t>
        </is>
      </c>
      <c r="E8" s="156" t="n"/>
      <c r="F8" s="156" t="n"/>
      <c r="G8" s="12" t="inlineStr">
        <is>
          <t>сроч</t>
        </is>
      </c>
      <c r="H8" s="12" t="inlineStr">
        <is>
          <t>жен</t>
        </is>
      </c>
      <c r="I8" s="156" t="n"/>
      <c r="J8" s="156" t="n"/>
      <c r="K8" s="145" t="inlineStr">
        <is>
          <t>в/с</t>
        </is>
      </c>
      <c r="L8" s="145" t="inlineStr">
        <is>
          <t>г/п</t>
        </is>
      </c>
      <c r="M8" s="156" t="n"/>
      <c r="N8" s="145" t="inlineStr">
        <is>
          <t>в/с</t>
        </is>
      </c>
      <c r="O8" s="145" t="inlineStr">
        <is>
          <t>г/п</t>
        </is>
      </c>
      <c r="P8" s="145" t="inlineStr">
        <is>
          <t>в/с</t>
        </is>
      </c>
      <c r="Q8" s="145" t="inlineStr">
        <is>
          <t>г/п</t>
        </is>
      </c>
      <c r="R8" s="145" t="inlineStr">
        <is>
          <t>в/с</t>
        </is>
      </c>
      <c r="S8" s="145" t="inlineStr">
        <is>
          <t>г/п</t>
        </is>
      </c>
      <c r="T8" s="145" t="inlineStr">
        <is>
          <t>в/с</t>
        </is>
      </c>
      <c r="U8" s="145" t="inlineStr">
        <is>
          <t>г/п</t>
        </is>
      </c>
      <c r="V8" s="145" t="inlineStr">
        <is>
          <t>в/с</t>
        </is>
      </c>
      <c r="W8" s="145" t="inlineStr">
        <is>
          <t>г/п</t>
        </is>
      </c>
      <c r="X8" s="145" t="inlineStr">
        <is>
          <t>в/с</t>
        </is>
      </c>
      <c r="Y8" s="145" t="inlineStr">
        <is>
          <t>г/п</t>
        </is>
      </c>
      <c r="Z8" s="145" t="inlineStr">
        <is>
          <t>в/с</t>
        </is>
      </c>
      <c r="AA8" s="145" t="inlineStr">
        <is>
          <t>г/п</t>
        </is>
      </c>
      <c r="AB8" s="35" t="n"/>
      <c r="AC8" s="15" t="n"/>
      <c r="AD8" s="35" t="n"/>
      <c r="AE8" s="15" t="n"/>
      <c r="AF8" s="36" t="n"/>
      <c r="AG8" s="36" t="n"/>
    </row>
    <row r="9" ht="21" customHeight="1" s="34" thickBot="1">
      <c r="A9" s="43" t="n"/>
      <c r="B9" s="33" t="inlineStr">
        <is>
          <t>Управление</t>
        </is>
      </c>
      <c r="C9" s="78" t="n">
        <v>91</v>
      </c>
      <c r="D9" s="74" t="n">
        <v>73</v>
      </c>
      <c r="E9" s="37">
        <f>SUM(C9,D9)</f>
        <v/>
      </c>
      <c r="F9" s="78" t="n">
        <v>87</v>
      </c>
      <c r="G9" s="76" t="n">
        <v>0</v>
      </c>
      <c r="H9" s="76" t="n">
        <v>11</v>
      </c>
      <c r="I9" s="74" t="n">
        <v>59</v>
      </c>
      <c r="J9" s="35">
        <f>SUM(F9+I9)</f>
        <v/>
      </c>
      <c r="K9" s="39">
        <f>F9-N9-P9-R9-T9-V9-X9-Z9-AD9+AB9</f>
        <v/>
      </c>
      <c r="L9" s="41">
        <f>I9-O9-Q9-S9-U9-W9-Y9-AA9</f>
        <v/>
      </c>
      <c r="M9" s="41">
        <f>L9+K9</f>
        <v/>
      </c>
      <c r="N9" s="78" t="n">
        <v>3</v>
      </c>
      <c r="O9" s="74" t="n">
        <v>0</v>
      </c>
      <c r="P9" s="80" t="n">
        <v>2</v>
      </c>
      <c r="Q9" s="74" t="n">
        <v>0</v>
      </c>
      <c r="R9" s="80" t="n">
        <v>6</v>
      </c>
      <c r="S9" s="74" t="n">
        <v>0</v>
      </c>
      <c r="T9" s="80" t="n">
        <v>0</v>
      </c>
      <c r="U9" s="74" t="n">
        <v>0</v>
      </c>
      <c r="V9" s="80" t="n">
        <v>0</v>
      </c>
      <c r="W9" s="74" t="n">
        <v>0</v>
      </c>
      <c r="X9" s="80" t="n">
        <v>1</v>
      </c>
      <c r="Y9" s="74" t="n">
        <v>0</v>
      </c>
      <c r="Z9" s="80" t="n">
        <v>0</v>
      </c>
      <c r="AA9" s="74" t="n">
        <v>1</v>
      </c>
      <c r="AB9" s="35" t="n"/>
      <c r="AC9" s="15" t="n"/>
      <c r="AD9" s="35" t="n"/>
      <c r="AE9" s="15" t="n"/>
      <c r="AF9" s="36" t="n"/>
      <c r="AG9" s="36" t="n"/>
    </row>
    <row r="10" ht="21" customHeight="1" s="34" thickBot="1">
      <c r="A10" s="43" t="inlineStr">
        <is>
          <t>+</t>
        </is>
      </c>
      <c r="B10" s="33" t="inlineStr">
        <is>
          <t>Узел связи</t>
        </is>
      </c>
      <c r="C10" s="79" t="n">
        <v>45</v>
      </c>
      <c r="D10" s="75" t="n">
        <v>24</v>
      </c>
      <c r="E10" s="37">
        <f>SUM(C10,D10)</f>
        <v/>
      </c>
      <c r="F10" s="79" t="n">
        <v>36</v>
      </c>
      <c r="G10" s="77" t="n">
        <v>1</v>
      </c>
      <c r="H10" s="77" t="n">
        <v>5</v>
      </c>
      <c r="I10" s="75" t="n">
        <v>17</v>
      </c>
      <c r="J10" s="35" t="n">
        <v>53</v>
      </c>
      <c r="K10" s="39">
        <f>F10-N10-P10-R10-T10-V10-X10-Z10-AD10+AB10</f>
        <v/>
      </c>
      <c r="L10" s="41">
        <f>I10-O10-Q10-S10-U10-W10-Y10-AA10</f>
        <v/>
      </c>
      <c r="M10" s="41">
        <f>L10+K10</f>
        <v/>
      </c>
      <c r="N10" s="79" t="n">
        <v>2</v>
      </c>
      <c r="O10" s="75" t="n">
        <v>11</v>
      </c>
      <c r="P10" s="81" t="n">
        <v>0</v>
      </c>
      <c r="Q10" s="75" t="n">
        <v>0</v>
      </c>
      <c r="R10" s="81" t="n">
        <v>5</v>
      </c>
      <c r="S10" s="75" t="n">
        <v>2</v>
      </c>
      <c r="T10" s="81" t="n">
        <v>1</v>
      </c>
      <c r="U10" s="75" t="n">
        <v>0</v>
      </c>
      <c r="V10" s="81" t="n">
        <v>1</v>
      </c>
      <c r="W10" s="75" t="n">
        <v>0</v>
      </c>
      <c r="X10" s="81" t="n">
        <v>0</v>
      </c>
      <c r="Y10" s="75" t="n">
        <v>0</v>
      </c>
      <c r="Z10" s="81" t="n">
        <v>1</v>
      </c>
      <c r="AA10" s="75" t="n">
        <v>0</v>
      </c>
      <c r="AB10" s="35" t="n"/>
      <c r="AC10" s="15" t="n"/>
      <c r="AD10" s="35" t="n">
        <v>1</v>
      </c>
      <c r="AE10" s="72" t="inlineStr">
        <is>
          <t>1-УТЦ</t>
        </is>
      </c>
      <c r="AF10" s="36" t="n"/>
      <c r="AG10" s="36" t="n"/>
    </row>
    <row r="11" ht="21" customHeight="1" s="34" thickBot="1">
      <c r="A11" s="43" t="n"/>
      <c r="B11" s="33" t="inlineStr">
        <is>
          <t>Ц(МТО)</t>
        </is>
      </c>
      <c r="C11" s="79" t="n">
        <v>11</v>
      </c>
      <c r="D11" s="75" t="n">
        <v>48</v>
      </c>
      <c r="E11" s="37">
        <f>SUM(C11,D11)</f>
        <v/>
      </c>
      <c r="F11" s="79" t="n">
        <v>9</v>
      </c>
      <c r="G11" s="77" t="n">
        <v>0</v>
      </c>
      <c r="H11" s="77" t="n">
        <v>0</v>
      </c>
      <c r="I11" s="75" t="n">
        <v>14</v>
      </c>
      <c r="J11" s="35">
        <f>SUM(F11+I11)</f>
        <v/>
      </c>
      <c r="K11" s="39">
        <f>F11-N11-P11-R11-T11-V11-Z11-X11</f>
        <v/>
      </c>
      <c r="L11" s="41">
        <f>I11-O11-Q11-S11-U11-Y11-AA11-W11</f>
        <v/>
      </c>
      <c r="M11" s="41">
        <f>L11+K11</f>
        <v/>
      </c>
      <c r="N11" s="79" t="n">
        <v>0</v>
      </c>
      <c r="O11" s="75" t="n">
        <v>0</v>
      </c>
      <c r="P11" s="81" t="n">
        <v>3</v>
      </c>
      <c r="Q11" s="75" t="n">
        <v>0</v>
      </c>
      <c r="R11" s="81" t="n">
        <v>0</v>
      </c>
      <c r="S11" s="75" t="n">
        <v>0</v>
      </c>
      <c r="T11" s="81" t="n">
        <v>0</v>
      </c>
      <c r="U11" s="75" t="n">
        <v>1</v>
      </c>
      <c r="V11" s="81" t="n">
        <v>0</v>
      </c>
      <c r="W11" s="75" t="n">
        <v>3</v>
      </c>
      <c r="X11" s="81" t="n">
        <v>0</v>
      </c>
      <c r="Y11" s="75" t="n">
        <v>0</v>
      </c>
      <c r="Z11" s="81" t="n">
        <v>0</v>
      </c>
      <c r="AA11" s="75" t="n">
        <v>2</v>
      </c>
      <c r="AB11" s="35" t="n"/>
      <c r="AC11" s="15" t="n"/>
      <c r="AD11" s="35" t="n"/>
      <c r="AE11" s="15" t="n"/>
      <c r="AF11" s="36" t="n"/>
      <c r="AG11" s="36" t="n"/>
    </row>
    <row r="12" ht="18.75" customHeight="1" s="34" thickBot="1">
      <c r="A12" s="43" t="n"/>
      <c r="B12" s="33" t="inlineStr">
        <is>
          <t>Оркестр</t>
        </is>
      </c>
      <c r="C12" s="79" t="n">
        <v>5</v>
      </c>
      <c r="D12" s="75" t="n">
        <v>14</v>
      </c>
      <c r="E12" s="37">
        <f>SUM(C12,D12)</f>
        <v/>
      </c>
      <c r="F12" s="79" t="n">
        <v>4</v>
      </c>
      <c r="G12" s="77" t="n">
        <v>0</v>
      </c>
      <c r="H12" s="77" t="n">
        <v>1</v>
      </c>
      <c r="I12" s="75" t="n">
        <v>14</v>
      </c>
      <c r="J12" s="35">
        <f>SUM(F12+I12)</f>
        <v/>
      </c>
      <c r="K12" s="39">
        <f>F12-N12-P12-R12-T12-V12-X12-Z12-AD12+AB12</f>
        <v/>
      </c>
      <c r="L12" s="41">
        <f>I12-O12-Q12-S12-U12-W12-Y12-AA12</f>
        <v/>
      </c>
      <c r="M12" s="41">
        <f>L12+K12</f>
        <v/>
      </c>
      <c r="N12" s="79" t="n">
        <v>0</v>
      </c>
      <c r="O12" s="75" t="n">
        <v>0</v>
      </c>
      <c r="P12" s="81" t="n">
        <v>0</v>
      </c>
      <c r="Q12" s="75" t="n">
        <v>0</v>
      </c>
      <c r="R12" s="81" t="n">
        <v>1</v>
      </c>
      <c r="S12" s="75" t="n">
        <v>0</v>
      </c>
      <c r="T12" s="81" t="n">
        <v>0</v>
      </c>
      <c r="U12" s="75" t="n">
        <v>0</v>
      </c>
      <c r="V12" s="81" t="n">
        <v>0</v>
      </c>
      <c r="W12" s="75" t="n">
        <v>0</v>
      </c>
      <c r="X12" s="81" t="n">
        <v>0</v>
      </c>
      <c r="Y12" s="75" t="n">
        <v>0</v>
      </c>
      <c r="Z12" s="81" t="n">
        <v>0</v>
      </c>
      <c r="AA12" s="75" t="n">
        <v>0</v>
      </c>
      <c r="AB12" s="35" t="n"/>
      <c r="AC12" s="15" t="n"/>
      <c r="AD12" s="35" t="n"/>
      <c r="AE12" s="15" t="n"/>
      <c r="AF12" s="36" t="n"/>
      <c r="AG12" s="36" t="n"/>
    </row>
    <row r="13" ht="21" customHeight="1" s="34" thickBot="1">
      <c r="A13" s="43" t="inlineStr">
        <is>
          <t>+</t>
        </is>
      </c>
      <c r="B13" s="33" t="inlineStr">
        <is>
          <t>1192 ЦО</t>
        </is>
      </c>
      <c r="C13" s="79" t="n">
        <v>26</v>
      </c>
      <c r="D13" s="75" t="n">
        <v>56</v>
      </c>
      <c r="E13" s="37">
        <f>SUM(C13,D13)</f>
        <v/>
      </c>
      <c r="F13" s="79" t="n">
        <v>38</v>
      </c>
      <c r="G13" s="77" t="n">
        <v>29</v>
      </c>
      <c r="H13" s="77" t="n">
        <v>0</v>
      </c>
      <c r="I13" s="75" t="n">
        <v>24</v>
      </c>
      <c r="J13" s="35">
        <f>SUM(F13+I13)</f>
        <v/>
      </c>
      <c r="K13" s="39">
        <f>F13-N13-P13-R13-T13-V13-X13-Z13-AD13+AB13</f>
        <v/>
      </c>
      <c r="L13" s="41">
        <f>I13-O13-Q13-S13-U13-W13-Y13-AA13</f>
        <v/>
      </c>
      <c r="M13" s="41">
        <f>L13+K13</f>
        <v/>
      </c>
      <c r="N13" s="79" t="n">
        <v>18</v>
      </c>
      <c r="O13" s="75" t="n">
        <v>4</v>
      </c>
      <c r="P13" s="81" t="n">
        <v>3</v>
      </c>
      <c r="Q13" s="75" t="n">
        <v>0</v>
      </c>
      <c r="R13" s="81" t="n">
        <v>0</v>
      </c>
      <c r="S13" s="75" t="n">
        <v>0</v>
      </c>
      <c r="T13" s="81" t="n">
        <v>1</v>
      </c>
      <c r="U13" s="75" t="n">
        <v>14</v>
      </c>
      <c r="V13" s="81" t="n">
        <v>0</v>
      </c>
      <c r="W13" s="75" t="n">
        <v>0</v>
      </c>
      <c r="X13" s="81" t="n">
        <v>2</v>
      </c>
      <c r="Y13" s="75" t="n">
        <v>0</v>
      </c>
      <c r="Z13" s="81" t="n">
        <v>0</v>
      </c>
      <c r="AA13" s="75" t="n">
        <v>3</v>
      </c>
      <c r="AB13" s="35" t="n"/>
      <c r="AC13" s="58" t="n"/>
      <c r="AD13" s="35" t="n"/>
      <c r="AE13" s="15" t="n"/>
      <c r="AF13" s="36" t="n"/>
      <c r="AG13" s="63" t="n"/>
    </row>
    <row r="14" ht="21" customHeight="1" s="34" thickBot="1">
      <c r="A14" s="43" t="n"/>
      <c r="B14" s="33" t="inlineStr">
        <is>
          <t>1169 Ц(АСР)</t>
        </is>
      </c>
      <c r="C14" s="79" t="n">
        <v>152</v>
      </c>
      <c r="D14" s="75" t="n">
        <v>44</v>
      </c>
      <c r="E14" s="37">
        <f>SUM(C14,D14)</f>
        <v/>
      </c>
      <c r="F14" s="79" t="n">
        <v>131</v>
      </c>
      <c r="G14" s="77" t="n">
        <v>8</v>
      </c>
      <c r="H14" s="77" t="n">
        <v>5</v>
      </c>
      <c r="I14" s="75" t="n">
        <v>5</v>
      </c>
      <c r="J14" s="35" t="n">
        <v>136</v>
      </c>
      <c r="K14" s="39" t="n">
        <v>47</v>
      </c>
      <c r="L14" s="92" t="n">
        <v>5</v>
      </c>
      <c r="M14" s="41" t="n">
        <v>52</v>
      </c>
      <c r="N14" s="79" t="n">
        <v>12</v>
      </c>
      <c r="O14" s="75" t="n">
        <v>0</v>
      </c>
      <c r="P14" s="81" t="n">
        <v>30</v>
      </c>
      <c r="Q14" s="75" t="n">
        <v>0</v>
      </c>
      <c r="R14" s="81" t="n">
        <v>15</v>
      </c>
      <c r="S14" s="75" t="n">
        <v>0</v>
      </c>
      <c r="T14" s="81" t="n">
        <v>17</v>
      </c>
      <c r="U14" s="75" t="n">
        <v>0</v>
      </c>
      <c r="V14" s="81" t="n">
        <v>8</v>
      </c>
      <c r="W14" s="75" t="n">
        <v>0</v>
      </c>
      <c r="X14" s="81" t="n">
        <v>0</v>
      </c>
      <c r="Y14" s="75" t="n">
        <v>0</v>
      </c>
      <c r="Z14" s="81" t="n">
        <v>2</v>
      </c>
      <c r="AA14" s="75" t="n">
        <v>0</v>
      </c>
      <c r="AB14" s="53" t="n"/>
      <c r="AC14" s="53" t="n"/>
      <c r="AD14" s="35" t="n">
        <v>1</v>
      </c>
      <c r="AE14" s="38" t="inlineStr">
        <is>
          <t>1-УТЦ</t>
        </is>
      </c>
      <c r="AF14" s="90" t="n"/>
      <c r="AG14" s="61" t="n"/>
      <c r="AH14" s="49" t="n"/>
      <c r="AI14" s="49" t="n"/>
    </row>
    <row r="15" ht="21" customHeight="1" s="34" thickBot="1">
      <c r="A15" s="43" t="n"/>
      <c r="B15" s="67" t="inlineStr">
        <is>
          <t>40 рцпс</t>
        </is>
      </c>
      <c r="C15" s="79" t="n">
        <v>25</v>
      </c>
      <c r="D15" s="75" t="n">
        <v>52</v>
      </c>
      <c r="E15" s="37" t="n">
        <v>77</v>
      </c>
      <c r="F15" s="79" t="n">
        <v>23</v>
      </c>
      <c r="G15" s="77" t="n">
        <v>1</v>
      </c>
      <c r="H15" s="77" t="n">
        <v>1</v>
      </c>
      <c r="I15" s="75" t="n">
        <v>34</v>
      </c>
      <c r="J15" s="35">
        <f>SUM(F15+I15)</f>
        <v/>
      </c>
      <c r="K15" s="39" t="n">
        <v>23</v>
      </c>
      <c r="L15" s="41" t="n">
        <v>30</v>
      </c>
      <c r="M15" s="41" t="n">
        <v>44</v>
      </c>
      <c r="N15" s="79" t="n">
        <v>1</v>
      </c>
      <c r="O15" s="75" t="n">
        <v>0</v>
      </c>
      <c r="P15" s="81" t="n">
        <v>2</v>
      </c>
      <c r="Q15" s="75" t="n">
        <v>0</v>
      </c>
      <c r="R15" s="81" t="n">
        <v>3</v>
      </c>
      <c r="S15" s="75" t="n">
        <v>1</v>
      </c>
      <c r="T15" s="81" t="n">
        <v>0</v>
      </c>
      <c r="U15" s="75" t="n">
        <v>0</v>
      </c>
      <c r="V15" s="81" t="n">
        <v>1</v>
      </c>
      <c r="W15" s="75" t="n">
        <v>1</v>
      </c>
      <c r="X15" s="81" t="n">
        <v>0</v>
      </c>
      <c r="Y15" s="75" t="n">
        <v>0</v>
      </c>
      <c r="Z15" s="81" t="n">
        <v>0</v>
      </c>
      <c r="AA15" s="75" t="n">
        <v>2</v>
      </c>
      <c r="AB15" s="35" t="n"/>
      <c r="AC15" s="15" t="n"/>
      <c r="AD15" s="35" t="n"/>
      <c r="AE15" s="15" t="n"/>
      <c r="AF15" s="36" t="n"/>
      <c r="AG15" s="36" t="n"/>
    </row>
    <row r="16" ht="21" customHeight="1" s="34" thickBot="1">
      <c r="A16" s="43" t="n"/>
      <c r="B16" s="33" t="inlineStr">
        <is>
          <t>1125 Ц(РХБЗ)</t>
        </is>
      </c>
      <c r="C16" s="79" t="n">
        <v>69</v>
      </c>
      <c r="D16" s="75" t="n">
        <v>17</v>
      </c>
      <c r="E16" s="37">
        <f>SUM(C16,D16)</f>
        <v/>
      </c>
      <c r="F16" s="79" t="n">
        <v>63</v>
      </c>
      <c r="G16" s="77" t="n">
        <v>14</v>
      </c>
      <c r="H16" s="77" t="n">
        <v>7</v>
      </c>
      <c r="I16" s="75" t="n">
        <v>9</v>
      </c>
      <c r="J16" s="35">
        <f>SUM(F16+I16)</f>
        <v/>
      </c>
      <c r="K16" s="39" t="n">
        <v>42</v>
      </c>
      <c r="L16" s="41" t="n">
        <v>0</v>
      </c>
      <c r="M16" s="41">
        <f>L16+K16</f>
        <v/>
      </c>
      <c r="N16" s="79" t="n">
        <v>1</v>
      </c>
      <c r="O16" s="75" t="n">
        <v>0</v>
      </c>
      <c r="P16" s="81" t="n">
        <v>3</v>
      </c>
      <c r="Q16" s="75" t="n">
        <v>0</v>
      </c>
      <c r="R16" s="81" t="n">
        <v>1</v>
      </c>
      <c r="S16" s="75" t="n">
        <v>0</v>
      </c>
      <c r="T16" s="81" t="n">
        <v>2</v>
      </c>
      <c r="U16" s="75" t="n">
        <v>0</v>
      </c>
      <c r="V16" s="81" t="n">
        <v>0</v>
      </c>
      <c r="W16" s="75" t="n">
        <v>0</v>
      </c>
      <c r="X16" s="81" t="n">
        <v>0</v>
      </c>
      <c r="Y16" s="75" t="n">
        <v>0</v>
      </c>
      <c r="Z16" s="81" t="n">
        <v>1</v>
      </c>
      <c r="AA16" s="75" t="n">
        <v>1</v>
      </c>
      <c r="AB16" s="35" t="n"/>
      <c r="AC16" s="38" t="n"/>
      <c r="AD16" s="37" t="n">
        <v>14</v>
      </c>
      <c r="AE16" s="82" t="inlineStr">
        <is>
          <t xml:space="preserve">9 - 334 УТЦ                   5- 46 КЦ              </t>
        </is>
      </c>
      <c r="AF16" s="36" t="n"/>
      <c r="AG16" s="54" t="n"/>
    </row>
    <row r="17" ht="21" customHeight="1" s="34" thickBot="1">
      <c r="A17" s="43" t="inlineStr">
        <is>
          <t>+</t>
        </is>
      </c>
      <c r="B17" s="33" t="inlineStr">
        <is>
          <t>955 БРХТ</t>
        </is>
      </c>
      <c r="C17" s="79" t="n">
        <v>8</v>
      </c>
      <c r="D17" s="75" t="n">
        <v>34</v>
      </c>
      <c r="E17" s="37">
        <f>SUM(C17,D17)</f>
        <v/>
      </c>
      <c r="F17" s="79" t="n">
        <v>8</v>
      </c>
      <c r="G17" s="77" t="n">
        <v>0</v>
      </c>
      <c r="H17" s="77" t="n">
        <v>0</v>
      </c>
      <c r="I17" s="75" t="n">
        <v>17</v>
      </c>
      <c r="J17" s="35" t="n">
        <v>25</v>
      </c>
      <c r="K17" s="39" t="n">
        <v>6</v>
      </c>
      <c r="L17" s="41" t="n">
        <v>10</v>
      </c>
      <c r="M17" s="41" t="n">
        <v>16</v>
      </c>
      <c r="N17" s="79" t="n">
        <v>0</v>
      </c>
      <c r="O17" s="75" t="n">
        <v>0</v>
      </c>
      <c r="P17" s="81" t="n">
        <v>0</v>
      </c>
      <c r="Q17" s="75" t="n">
        <v>0</v>
      </c>
      <c r="R17" s="81" t="n">
        <v>2</v>
      </c>
      <c r="S17" s="75" t="n">
        <v>4</v>
      </c>
      <c r="T17" s="81" t="n">
        <v>0</v>
      </c>
      <c r="U17" s="75" t="n">
        <v>2</v>
      </c>
      <c r="V17" s="81" t="n">
        <v>0</v>
      </c>
      <c r="W17" s="75" t="n">
        <v>0</v>
      </c>
      <c r="X17" s="81" t="n">
        <v>0</v>
      </c>
      <c r="Y17" s="75" t="n">
        <v>0</v>
      </c>
      <c r="Z17" s="81" t="n">
        <v>0</v>
      </c>
      <c r="AA17" s="75" t="n">
        <v>1</v>
      </c>
      <c r="AB17" s="35" t="n"/>
      <c r="AC17" s="15" t="n"/>
      <c r="AD17" s="35" t="n"/>
      <c r="AE17" s="15" t="n"/>
      <c r="AF17" s="36" t="n"/>
      <c r="AG17" s="36" t="n"/>
    </row>
    <row r="18" ht="29.25" customHeight="1" s="34" thickBot="1">
      <c r="A18" s="96" t="inlineStr">
        <is>
          <t>+</t>
        </is>
      </c>
      <c r="B18" s="33" t="inlineStr">
        <is>
          <t>1351 ЦО</t>
        </is>
      </c>
      <c r="C18" s="79" t="n">
        <v>86</v>
      </c>
      <c r="D18" s="75" t="n">
        <v>62</v>
      </c>
      <c r="E18" s="37">
        <f>SUM(C18,D18)</f>
        <v/>
      </c>
      <c r="F18" s="79" t="n">
        <v>76</v>
      </c>
      <c r="G18" s="77" t="n">
        <v>10</v>
      </c>
      <c r="H18" s="77" t="n">
        <v>4</v>
      </c>
      <c r="I18" s="75" t="n">
        <v>16</v>
      </c>
      <c r="J18" s="35">
        <f>SUM(F18+I18)</f>
        <v/>
      </c>
      <c r="K18" s="39">
        <f>F18-N18-P18-R18-T18-V18-X18-Z18-AD18+AB18</f>
        <v/>
      </c>
      <c r="L18" s="41">
        <f>I18-O18-Q18-S18-U18-W18-Y18-AA18</f>
        <v/>
      </c>
      <c r="M18" s="41">
        <f>L18+K18</f>
        <v/>
      </c>
      <c r="N18" s="79" t="n">
        <v>2</v>
      </c>
      <c r="O18" s="75" t="n">
        <v>0</v>
      </c>
      <c r="P18" s="81" t="n">
        <v>12</v>
      </c>
      <c r="Q18" s="75" t="n">
        <v>2</v>
      </c>
      <c r="R18" s="81" t="n">
        <v>6</v>
      </c>
      <c r="S18" s="75" t="n">
        <v>4</v>
      </c>
      <c r="T18" s="81" t="n">
        <v>5</v>
      </c>
      <c r="U18" s="75" t="n">
        <v>1</v>
      </c>
      <c r="V18" s="81" t="n">
        <v>10</v>
      </c>
      <c r="W18" s="75" t="n">
        <v>1</v>
      </c>
      <c r="X18" s="81" t="n">
        <v>1</v>
      </c>
      <c r="Y18" s="75" t="n">
        <v>0</v>
      </c>
      <c r="Z18" s="81" t="n">
        <v>0</v>
      </c>
      <c r="AA18" s="75" t="n">
        <v>1</v>
      </c>
      <c r="AB18" s="35" t="n"/>
      <c r="AC18" s="15" t="n"/>
      <c r="AD18" s="35" t="n">
        <v>10</v>
      </c>
      <c r="AE18" s="55" t="inlineStr">
        <is>
          <t xml:space="preserve"> 7 - 46 КЦ 3 - УТЦ</t>
        </is>
      </c>
      <c r="AF18" s="36" t="n"/>
      <c r="AG18" s="36" t="n"/>
    </row>
    <row r="19" ht="30" customHeight="1" s="34" thickBot="1">
      <c r="A19" s="43" t="inlineStr">
        <is>
          <t>+</t>
        </is>
      </c>
      <c r="B19" s="33" t="inlineStr">
        <is>
          <t>46 КЦ</t>
        </is>
      </c>
      <c r="C19" s="93" t="n">
        <v>19</v>
      </c>
      <c r="D19" s="94" t="n">
        <v>32</v>
      </c>
      <c r="E19" s="37">
        <f>SUM(C19,D19)</f>
        <v/>
      </c>
      <c r="F19" s="93" t="n">
        <v>17</v>
      </c>
      <c r="G19" s="95" t="n">
        <v>2</v>
      </c>
      <c r="H19" s="95" t="n">
        <v>5</v>
      </c>
      <c r="I19" s="94" t="n">
        <v>17</v>
      </c>
      <c r="J19" s="35">
        <f>SUM(F19+I19)</f>
        <v/>
      </c>
      <c r="K19" s="39">
        <f>SUM(F19-N19-P19-R19-T19-V19-X19-Z19,AB19)</f>
        <v/>
      </c>
      <c r="L19" s="41">
        <f>I19-O19-Q19-S19-U19-W19-Y19-AA19</f>
        <v/>
      </c>
      <c r="M19" s="41">
        <f>L19+K19</f>
        <v/>
      </c>
      <c r="N19" s="121" t="n">
        <v>6</v>
      </c>
      <c r="O19" s="17" t="n">
        <v>1</v>
      </c>
      <c r="P19" s="121" t="n">
        <v>1</v>
      </c>
      <c r="Q19" s="17" t="n">
        <v>0</v>
      </c>
      <c r="R19" s="121" t="n">
        <v>2</v>
      </c>
      <c r="S19" s="17" t="n">
        <v>2</v>
      </c>
      <c r="T19" s="121" t="n">
        <v>2</v>
      </c>
      <c r="U19" s="17" t="n">
        <v>1</v>
      </c>
      <c r="V19" s="121" t="n">
        <v>0</v>
      </c>
      <c r="W19" s="17" t="n">
        <v>0</v>
      </c>
      <c r="X19" s="121" t="n">
        <v>0</v>
      </c>
      <c r="Y19" s="17" t="n">
        <v>0</v>
      </c>
      <c r="Z19" s="121" t="n">
        <v>1</v>
      </c>
      <c r="AA19" s="17" t="n">
        <v>1</v>
      </c>
      <c r="AB19" s="17" t="n">
        <v>13</v>
      </c>
      <c r="AC19" s="72" t="inlineStr">
        <is>
          <t>7 - 1351 ЦО 
5 -  1125 Ц(РХБЗ)</t>
        </is>
      </c>
      <c r="AD19" s="56" t="n"/>
      <c r="AE19" s="18" t="n"/>
      <c r="AF19" s="36" t="n"/>
      <c r="AG19" s="36" t="n"/>
    </row>
    <row r="20" ht="19.5" customHeight="1" s="34" thickBot="1">
      <c r="A20" s="43" t="n"/>
      <c r="B20" s="33" t="inlineStr">
        <is>
          <t>334 УТЦ</t>
        </is>
      </c>
      <c r="C20" s="79" t="n">
        <v>50</v>
      </c>
      <c r="D20" s="75" t="n">
        <v>43</v>
      </c>
      <c r="E20" s="37">
        <f>SUM(C20,D20)</f>
        <v/>
      </c>
      <c r="F20" s="79" t="n">
        <v>48</v>
      </c>
      <c r="G20" s="77" t="n">
        <v>4</v>
      </c>
      <c r="H20" s="77" t="n">
        <v>1</v>
      </c>
      <c r="I20" s="75" t="n">
        <v>15</v>
      </c>
      <c r="J20" s="35">
        <f>SUM(F20,I20)</f>
        <v/>
      </c>
      <c r="K20" s="39">
        <f>(F20+AB20)-N20-P20-R20-T20-V20-X20-Z20</f>
        <v/>
      </c>
      <c r="L20" s="41">
        <f>I20-(O20+Q20+S20+U20+W20+Y20+AA20)</f>
        <v/>
      </c>
      <c r="M20" s="41">
        <f>K20+L20</f>
        <v/>
      </c>
      <c r="N20" s="79" t="n">
        <v>8</v>
      </c>
      <c r="O20" s="75" t="n">
        <v>0</v>
      </c>
      <c r="P20" s="81" t="n">
        <v>0</v>
      </c>
      <c r="Q20" s="75" t="n">
        <v>0</v>
      </c>
      <c r="R20" s="81" t="n">
        <v>9</v>
      </c>
      <c r="S20" s="75" t="n">
        <v>1</v>
      </c>
      <c r="T20" s="81" t="n">
        <v>0</v>
      </c>
      <c r="U20" s="75" t="n">
        <v>0</v>
      </c>
      <c r="V20" s="81" t="n">
        <v>1</v>
      </c>
      <c r="W20" s="75" t="n">
        <v>0</v>
      </c>
      <c r="X20" s="81" t="n">
        <v>0</v>
      </c>
      <c r="Y20" s="75" t="n">
        <v>0</v>
      </c>
      <c r="Z20" s="81" t="n">
        <v>1</v>
      </c>
      <c r="AA20" s="75" t="n">
        <v>0</v>
      </c>
      <c r="AB20" s="37" t="n">
        <v>20</v>
      </c>
      <c r="AC20" s="73" t="inlineStr">
        <is>
          <t>9 - 1125 Ц(РХБЗ), 6 - 65 ОАО, 1 - 1169 Ц(АСР), 1 - УС, 3 - 1351 ЦО (РНКЧГР)</t>
        </is>
      </c>
      <c r="AD20" s="35" t="n"/>
      <c r="AE20" s="15" t="n"/>
      <c r="AF20" s="36" t="n"/>
      <c r="AG20" s="42" t="n"/>
    </row>
    <row r="21" ht="19.5" customHeight="1" s="34" thickBot="1">
      <c r="A21" s="43" t="inlineStr">
        <is>
          <t>+</t>
        </is>
      </c>
      <c r="B21" s="33" t="inlineStr">
        <is>
          <t>1234 МЦ</t>
        </is>
      </c>
      <c r="C21" s="98" t="n">
        <v>14</v>
      </c>
      <c r="D21" s="99" t="n">
        <v>38</v>
      </c>
      <c r="E21" s="100">
        <f>SUM(C21,D21)</f>
        <v/>
      </c>
      <c r="F21" s="98" t="n">
        <v>11</v>
      </c>
      <c r="G21" s="101" t="n">
        <v>0</v>
      </c>
      <c r="H21" s="101" t="n">
        <v>1</v>
      </c>
      <c r="I21" s="99" t="n">
        <v>27</v>
      </c>
      <c r="J21" s="102">
        <f>SUM(F21,I21)</f>
        <v/>
      </c>
      <c r="K21" s="103" t="n">
        <v>7</v>
      </c>
      <c r="L21" s="105" t="n">
        <v>16</v>
      </c>
      <c r="M21" s="105">
        <f>L21+K21</f>
        <v/>
      </c>
      <c r="N21" s="98" t="n">
        <v>0</v>
      </c>
      <c r="O21" s="106" t="n">
        <v>2</v>
      </c>
      <c r="P21" s="122" t="n">
        <v>0</v>
      </c>
      <c r="Q21" s="99" t="n">
        <v>0</v>
      </c>
      <c r="R21" s="122" t="n">
        <v>1</v>
      </c>
      <c r="S21" s="106" t="n">
        <v>1</v>
      </c>
      <c r="T21" s="122" t="n">
        <v>0</v>
      </c>
      <c r="U21" s="106" t="n">
        <v>5</v>
      </c>
      <c r="V21" s="122" t="n">
        <v>0</v>
      </c>
      <c r="W21" s="99" t="n">
        <v>0</v>
      </c>
      <c r="X21" s="122" t="n">
        <v>1</v>
      </c>
      <c r="Y21" s="99" t="n">
        <v>0</v>
      </c>
      <c r="Z21" s="122" t="n">
        <v>0</v>
      </c>
      <c r="AA21" s="99" t="n">
        <v>3</v>
      </c>
      <c r="AB21" s="102" t="n"/>
      <c r="AC21" s="107" t="n"/>
      <c r="AD21" s="102" t="n"/>
      <c r="AE21" s="107" t="n"/>
      <c r="AF21" s="108" t="n"/>
      <c r="AG21" s="108" t="n"/>
    </row>
    <row r="22" ht="20.25" customHeight="1" s="34" thickBot="1">
      <c r="A22" s="43" t="n"/>
      <c r="B22" s="97" t="inlineStr">
        <is>
          <t>65 ОАО</t>
        </is>
      </c>
      <c r="C22" s="117" t="n">
        <v>354</v>
      </c>
      <c r="D22" s="117" t="n">
        <v>0</v>
      </c>
      <c r="E22" s="117">
        <f>SUM(C22,D22)</f>
        <v/>
      </c>
      <c r="F22" s="117" t="n">
        <v>298</v>
      </c>
      <c r="G22" s="118" t="n">
        <v>194</v>
      </c>
      <c r="H22" s="118" t="n">
        <v>21</v>
      </c>
      <c r="I22" s="117" t="n">
        <v>0</v>
      </c>
      <c r="J22" s="117" t="n">
        <v>324</v>
      </c>
      <c r="K22" s="119">
        <f>(F22)-N22-P22-R22-T22-V22-X22-Z22</f>
        <v/>
      </c>
      <c r="L22" s="117" t="n">
        <v>0</v>
      </c>
      <c r="M22" s="117">
        <f>SUM(K22+L22)</f>
        <v/>
      </c>
      <c r="N22" s="117" t="n">
        <v>38</v>
      </c>
      <c r="O22" s="117" t="n">
        <v>0</v>
      </c>
      <c r="P22" s="117" t="n">
        <v>7</v>
      </c>
      <c r="Q22" s="117" t="n"/>
      <c r="R22" s="117" t="n">
        <v>17</v>
      </c>
      <c r="S22" s="117" t="inlineStr">
        <is>
          <t xml:space="preserve"> </t>
        </is>
      </c>
      <c r="T22" s="117" t="n">
        <v>3</v>
      </c>
      <c r="U22" s="117" t="n">
        <v>0</v>
      </c>
      <c r="V22" s="117" t="n">
        <v>8</v>
      </c>
      <c r="W22" s="117" t="n">
        <v>0</v>
      </c>
      <c r="X22" s="117" t="n">
        <v>17</v>
      </c>
      <c r="Y22" s="117" t="n">
        <v>0</v>
      </c>
      <c r="Z22" s="117" t="n">
        <v>4</v>
      </c>
      <c r="AA22" s="117" t="n">
        <v>0</v>
      </c>
      <c r="AB22" s="117" t="n"/>
      <c r="AC22" s="117" t="n"/>
      <c r="AD22" s="117" t="n">
        <v>7</v>
      </c>
      <c r="AE22" s="120" t="inlineStr">
        <is>
          <t>7-УТЦ</t>
        </is>
      </c>
      <c r="AF22" s="116" t="n"/>
      <c r="AG22" s="116" t="n"/>
    </row>
    <row r="23" ht="21.75" customHeight="1" s="34" thickBot="1">
      <c r="A23" s="43" t="n"/>
      <c r="B23" s="33" t="inlineStr">
        <is>
          <t>Мол.пополнение</t>
        </is>
      </c>
      <c r="C23" s="79" t="n">
        <v>0</v>
      </c>
      <c r="D23" s="75" t="n">
        <v>0</v>
      </c>
      <c r="E23" s="109">
        <f>SUM(C23,D23)</f>
        <v/>
      </c>
      <c r="F23" s="79" t="n">
        <v>61</v>
      </c>
      <c r="G23" s="77" t="n">
        <v>61</v>
      </c>
      <c r="H23" s="77" t="n">
        <v>0</v>
      </c>
      <c r="I23" s="75" t="n">
        <v>0</v>
      </c>
      <c r="J23" s="110">
        <f>SUM(F23,I23)</f>
        <v/>
      </c>
      <c r="K23" s="111">
        <f>F23-N23-P23-R23-T23-V23-X23-Z23-AD23+AB23</f>
        <v/>
      </c>
      <c r="L23" s="113">
        <f>I23-O23-Q23-S23-U23-W23-Y23-AA23</f>
        <v/>
      </c>
      <c r="M23" s="113">
        <f>L23+K23</f>
        <v/>
      </c>
      <c r="N23" s="79" t="n">
        <v>0</v>
      </c>
      <c r="O23" s="75" t="n">
        <v>0</v>
      </c>
      <c r="P23" s="81" t="n">
        <v>0</v>
      </c>
      <c r="Q23" s="75" t="n">
        <v>0</v>
      </c>
      <c r="R23" s="81" t="n">
        <v>0</v>
      </c>
      <c r="S23" s="75" t="n">
        <v>0</v>
      </c>
      <c r="T23" s="81" t="n">
        <v>0</v>
      </c>
      <c r="U23" s="75" t="n">
        <v>0</v>
      </c>
      <c r="V23" s="81" t="n">
        <v>0</v>
      </c>
      <c r="W23" s="75" t="n">
        <v>0</v>
      </c>
      <c r="X23" s="81" t="n">
        <v>0</v>
      </c>
      <c r="Y23" s="75" t="n">
        <v>0</v>
      </c>
      <c r="Z23" s="81" t="n">
        <v>0</v>
      </c>
      <c r="AA23" s="75" t="n">
        <v>0</v>
      </c>
      <c r="AB23" s="110" t="n"/>
      <c r="AC23" s="114" t="n"/>
      <c r="AD23" s="110" t="n"/>
      <c r="AE23" s="114" t="n"/>
      <c r="AF23" s="115" t="n"/>
      <c r="AG23" s="115" t="n"/>
    </row>
    <row r="24" ht="21" customHeight="1" s="34" thickBot="1">
      <c r="A24" s="43" t="n"/>
      <c r="B24" s="68" t="inlineStr">
        <is>
          <t>ИТОГО</t>
        </is>
      </c>
      <c r="C24" s="20">
        <f>SUM(C9:C23)</f>
        <v/>
      </c>
      <c r="D24" s="20">
        <f>SUM(D9:D23)</f>
        <v/>
      </c>
      <c r="E24" s="37">
        <f>SUM(C24,D24)</f>
        <v/>
      </c>
      <c r="F24" s="21">
        <f>SUM(F9:F23)</f>
        <v/>
      </c>
      <c r="G24" s="21">
        <f>SUM(G9:G23)</f>
        <v/>
      </c>
      <c r="H24" s="21">
        <f>SUM(H9:H23)</f>
        <v/>
      </c>
      <c r="I24" s="21">
        <f>SUM(I9:I23)</f>
        <v/>
      </c>
      <c r="J24" s="21">
        <f>SUM(J9:J23)</f>
        <v/>
      </c>
      <c r="K24" s="39">
        <f>F24-N24-P24-R24-T24-V24-X24-Z24-AD24+AB24</f>
        <v/>
      </c>
      <c r="L24" s="41">
        <f>I24-O24-Q24-S24-U24-W24-Y24-AA24</f>
        <v/>
      </c>
      <c r="M24" s="41">
        <f>L24+K24</f>
        <v/>
      </c>
      <c r="N24" s="39">
        <f>SUM(N9:N23)</f>
        <v/>
      </c>
      <c r="O24" s="41">
        <f>SUM(O9:O23)</f>
        <v/>
      </c>
      <c r="P24" s="39">
        <f>SUM(P9:P23)</f>
        <v/>
      </c>
      <c r="Q24" s="41">
        <f>SUM(Q9:Q23)</f>
        <v/>
      </c>
      <c r="R24" s="39">
        <f>SUM(R9:R23)</f>
        <v/>
      </c>
      <c r="S24" s="41">
        <f>SUM(S9:S23)</f>
        <v/>
      </c>
      <c r="T24" s="39">
        <f>SUM(T9:T23)</f>
        <v/>
      </c>
      <c r="U24" s="41">
        <f>SUM(U9:U23)</f>
        <v/>
      </c>
      <c r="V24" s="39">
        <f>SUM(V9:V23)</f>
        <v/>
      </c>
      <c r="W24" s="41">
        <f>SUM(W9:W23)</f>
        <v/>
      </c>
      <c r="X24" s="39">
        <f>SUM(X9:X23)</f>
        <v/>
      </c>
      <c r="Y24" s="41">
        <f>SUM(Y9:Y23)</f>
        <v/>
      </c>
      <c r="Z24" s="39">
        <f>SUM(Z9:Z23)</f>
        <v/>
      </c>
      <c r="AA24" s="41">
        <f>SUM(AA9:AA23)</f>
        <v/>
      </c>
      <c r="AB24" s="20" t="n"/>
      <c r="AC24" s="20" t="n"/>
      <c r="AD24" s="20" t="n"/>
      <c r="AE24" s="20" t="n"/>
      <c r="AF24" s="20" t="n"/>
      <c r="AG24" s="20" t="n"/>
    </row>
    <row r="25" ht="21" customHeight="1" s="34" thickBot="1">
      <c r="A25" s="43" t="n"/>
      <c r="B25" s="24" t="inlineStr">
        <is>
          <t>ВСЕГО</t>
        </is>
      </c>
      <c r="C25" s="91">
        <f>E24</f>
        <v/>
      </c>
      <c r="D25" s="158" t="n"/>
      <c r="E25" s="159" t="n"/>
      <c r="F25" s="23">
        <f>SUM(F24,I24)</f>
        <v/>
      </c>
      <c r="G25" s="158" t="n"/>
      <c r="H25" s="158" t="n"/>
      <c r="I25" s="158" t="n"/>
      <c r="J25" s="159" t="n"/>
      <c r="K25" s="23">
        <f>M24</f>
        <v/>
      </c>
      <c r="L25" s="158" t="n"/>
      <c r="M25" s="159" t="n"/>
      <c r="N25" s="23">
        <f>N24+O24</f>
        <v/>
      </c>
      <c r="O25" s="159" t="n"/>
      <c r="P25" s="23">
        <f>P24+Q24</f>
        <v/>
      </c>
      <c r="Q25" s="159" t="n"/>
      <c r="R25" s="23">
        <f>R24+S24</f>
        <v/>
      </c>
      <c r="S25" s="159" t="n"/>
      <c r="T25" s="23">
        <f>T24+U24</f>
        <v/>
      </c>
      <c r="U25" s="159" t="n"/>
      <c r="V25" s="23">
        <f>V24+W24</f>
        <v/>
      </c>
      <c r="W25" s="159" t="n"/>
      <c r="X25" s="23">
        <f>X24+Y24</f>
        <v/>
      </c>
      <c r="Y25" s="159" t="n"/>
      <c r="Z25" s="23">
        <f>Z24+AA24</f>
        <v/>
      </c>
      <c r="AA25" s="159" t="n"/>
      <c r="AB25" s="87">
        <f>SUM(AB8:AB23)</f>
        <v/>
      </c>
      <c r="AC25" s="23" t="n"/>
      <c r="AD25" s="88">
        <f>SUM(AD9:AD23)</f>
        <v/>
      </c>
      <c r="AE25" s="23" t="n"/>
      <c r="AF25" s="23" t="n"/>
      <c r="AG25" s="91">
        <f>SUM(AG9:AG23)</f>
        <v/>
      </c>
    </row>
    <row r="26" ht="28.5" customHeight="1" s="34">
      <c r="A26" s="139" t="inlineStr">
        <is>
          <t>ОБРАТИТЬ ВНИМАНИЕ!!!!!</t>
        </is>
      </c>
      <c r="B26" s="160" t="n"/>
      <c r="C26" s="160" t="n"/>
      <c r="D26" s="160" t="n"/>
      <c r="E26" s="160" t="n"/>
      <c r="F26" s="160" t="n"/>
      <c r="G26" s="160" t="n"/>
      <c r="H26" s="160" t="n"/>
      <c r="I26" s="160" t="n"/>
      <c r="J26" s="160" t="n"/>
      <c r="K26" s="160" t="n"/>
      <c r="L26" s="160" t="n"/>
      <c r="M26" s="29" t="n"/>
    </row>
    <row r="27" ht="39" customHeight="1" s="34">
      <c r="A27" s="138" t="inlineStr">
        <is>
          <t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ставится отметка о внесённых изменениях.
Если изменяется число по списку, эти изменения необходимо внести вручную.
Таблица командировок находится на втором листе файла, там, как в документе word расписываются командировки сотрудников.</t>
        </is>
      </c>
      <c r="L27" s="25" t="n"/>
    </row>
    <row r="28">
      <c r="L28" s="25" t="n"/>
    </row>
    <row r="29">
      <c r="L29" s="25" t="n"/>
    </row>
    <row r="30">
      <c r="L30" s="25" t="n"/>
    </row>
    <row r="31">
      <c r="L31" s="25" t="n"/>
    </row>
    <row r="32">
      <c r="L32" s="25" t="n"/>
    </row>
    <row r="33">
      <c r="L33" s="25" t="n"/>
    </row>
    <row r="34">
      <c r="L34" s="25" t="n"/>
    </row>
    <row r="35" ht="19.5" customHeight="1" s="34"/>
    <row r="36">
      <c r="A36" s="57">
        <f>+A14</f>
        <v/>
      </c>
    </row>
  </sheetData>
  <mergeCells count="40">
    <mergeCell ref="AC4:AC6"/>
    <mergeCell ref="J4:J8"/>
    <mergeCell ref="G6:H7"/>
    <mergeCell ref="F25:J25"/>
    <mergeCell ref="A4:A8"/>
    <mergeCell ref="K5:L5"/>
    <mergeCell ref="N25:O25"/>
    <mergeCell ref="P25:Q25"/>
    <mergeCell ref="K4:L4"/>
    <mergeCell ref="N4:O6"/>
    <mergeCell ref="P4:Q6"/>
    <mergeCell ref="A26:L26"/>
    <mergeCell ref="I6:I8"/>
    <mergeCell ref="R4:S6"/>
    <mergeCell ref="T4:U6"/>
    <mergeCell ref="Z25:AA25"/>
    <mergeCell ref="B1:AE3"/>
    <mergeCell ref="AD4:AD6"/>
    <mergeCell ref="R25:S25"/>
    <mergeCell ref="T25:U25"/>
    <mergeCell ref="F4:I4"/>
    <mergeCell ref="M4:M8"/>
    <mergeCell ref="B4:B8"/>
    <mergeCell ref="A27:K34"/>
    <mergeCell ref="V4:W6"/>
    <mergeCell ref="F6:F8"/>
    <mergeCell ref="AE4:AE6"/>
    <mergeCell ref="AG4:AG6"/>
    <mergeCell ref="AB4:AB6"/>
    <mergeCell ref="E4:E8"/>
    <mergeCell ref="F5:I5"/>
    <mergeCell ref="K25:M25"/>
    <mergeCell ref="X4:Y6"/>
    <mergeCell ref="AF4:AF6"/>
    <mergeCell ref="V25:W25"/>
    <mergeCell ref="X25:Y25"/>
    <mergeCell ref="K6:L6"/>
    <mergeCell ref="C4:D7"/>
    <mergeCell ref="Z4:AA6"/>
    <mergeCell ref="C25:E25"/>
  </mergeCells>
  <pageMargins left="0" right="0" top="0.7480314960629921" bottom="0.7480314960629921" header="0.3149606299212598" footer="0.3149606299212598"/>
  <pageSetup orientation="landscape" paperSize="9" scale="5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topLeftCell="B7" workbookViewId="0">
      <selection activeCell="B8" sqref="B8"/>
    </sheetView>
  </sheetViews>
  <sheetFormatPr baseColWidth="8" defaultRowHeight="15"/>
  <cols>
    <col width="22.42578125" customWidth="1" style="34" min="1" max="1"/>
    <col width="93.42578125" customWidth="1" style="34" min="2" max="2"/>
    <col width="30.42578125" customWidth="1" style="34" min="3" max="5"/>
  </cols>
  <sheetData>
    <row r="1" ht="31.5" customHeight="1" s="34" thickBot="1">
      <c r="A1" s="1" t="inlineStr">
        <is>
          <t>Подразделение</t>
        </is>
      </c>
      <c r="B1" s="146" t="inlineStr">
        <is>
          <t>Командировка</t>
        </is>
      </c>
      <c r="C1" s="158" t="n"/>
      <c r="D1" s="158" t="n"/>
      <c r="E1" s="159" t="n"/>
    </row>
    <row r="2" ht="15.75" customHeight="1" s="34" thickBot="1">
      <c r="A2" s="146" t="inlineStr">
        <is>
          <t>Управление</t>
        </is>
      </c>
      <c r="B2" s="32" t="inlineStr">
        <is>
          <t xml:space="preserve"> </t>
        </is>
      </c>
      <c r="C2" s="32" t="n"/>
      <c r="D2" s="146" t="n"/>
      <c r="E2" s="146" t="n"/>
    </row>
    <row r="3" ht="54.75" customHeight="1" s="34" thickBot="1">
      <c r="A3" s="51" t="inlineStr">
        <is>
          <t>Узел связи</t>
        </is>
      </c>
      <c r="B3" s="65" t="inlineStr">
        <is>
          <t xml:space="preserve">УТЦ -1 (ряд. Поликарпов Е.В.); </t>
        </is>
      </c>
      <c r="C3" s="52" t="n">
        <v>1</v>
      </c>
      <c r="D3" s="146" t="n"/>
      <c r="E3" s="146" t="n"/>
    </row>
    <row r="4" ht="15.75" customHeight="1" s="34" thickBot="1">
      <c r="A4" s="146" t="inlineStr">
        <is>
          <t>Ц(МТО)</t>
        </is>
      </c>
      <c r="B4" s="32" t="inlineStr">
        <is>
          <t>п/п-к Бокша В.Н., м-р Соловьев А.Е., м-р Сирук А.В.</t>
        </is>
      </c>
      <c r="C4" s="32" t="n">
        <v>3</v>
      </c>
      <c r="D4" s="146" t="n"/>
      <c r="E4" s="146" t="n"/>
    </row>
    <row r="5" ht="15.75" customHeight="1" s="34" thickBot="1">
      <c r="A5" s="146" t="inlineStr">
        <is>
          <t>Оркестр</t>
        </is>
      </c>
      <c r="B5" s="32" t="n"/>
      <c r="C5" s="32" t="n"/>
      <c r="D5" s="146" t="n"/>
      <c r="E5" s="146" t="n"/>
    </row>
    <row r="6" ht="15.75" customHeight="1" s="34" thickBot="1">
      <c r="A6" s="146" t="inlineStr">
        <is>
          <t>1192 ЦО</t>
        </is>
      </c>
      <c r="B6" s="64" t="n"/>
      <c r="C6" s="32" t="n"/>
      <c r="D6" s="146" t="n"/>
      <c r="E6" s="146" t="n"/>
    </row>
    <row r="7" ht="269.25" customHeight="1" s="34" thickBot="1">
      <c r="A7" s="50" t="inlineStr">
        <is>
          <t>1169 Ц(АСР)</t>
        </is>
      </c>
      <c r="B7" s="66" t="inlineStr">
        <is>
          <t xml:space="preserve">    ряд. Морозов А.Р., ст. л-т Новиков В.А., ст. л-т Туманов П.А., ст. л-т Хамидов Р.Р., ст. л-т Тихонов Е.В. мл. м-р  Понамарёв  А.П.,  м-р Марченко В.Н., ст. л-т Дудкин Д.М., пр-к Абубекаров Р.Ф., с-т Орехов А.В., к-н Горшков А.А., м-р м/с Масхутов Ш.С., ст. с-т Ермолов Я.С., пр-к Лазуткин М.М., п/п-к Нечепоренко А.А.,   ст. л-т Барышников А.И., мл. с-т Вахрушев В.В., ст. с-т Гайдей С.А.,  ряд. Рубайко Д.В., к-н Шихов Д.М., пр-к Ярцев С.И., ст. с-т Ивакин Н.В.,м-р Кузнецов С.В., пр-к Андрианов С.В., мл.с-т Хусяинов И.Н. , ст. л-т Белоусов В.А., л-т Симоненко А.С., ефр. Гарифуллин В.С.</t>
        </is>
      </c>
      <c r="C7" s="50" t="n">
        <v>30</v>
      </c>
      <c r="D7" s="146" t="n"/>
      <c r="E7" s="146" t="n"/>
    </row>
    <row r="8" ht="33.75" customFormat="1" customHeight="1" s="27" thickBot="1">
      <c r="A8" s="45" t="inlineStr">
        <is>
          <t>40 РЦПС</t>
        </is>
      </c>
      <c r="B8" s="46" t="inlineStr">
        <is>
          <t xml:space="preserve">      п/п-к  Волков С.Н.   п/П-К Пентюхин О.Н.</t>
        </is>
      </c>
      <c r="C8" s="46" t="n">
        <v>2</v>
      </c>
      <c r="D8" s="45" t="n"/>
      <c r="E8" s="45" t="n"/>
      <c r="R8" s="30" t="n"/>
      <c r="S8" s="30" t="n"/>
      <c r="T8" s="30" t="n"/>
    </row>
    <row r="9" ht="111.75" customHeight="1" s="34" thickBot="1">
      <c r="A9" s="47" t="inlineStr">
        <is>
          <t>1125 Центр (РХБЗ)</t>
        </is>
      </c>
      <c r="B9" s="69" t="inlineStr">
        <is>
          <t xml:space="preserve">                                   УТЦ – 9 чел. ( ряд. Лужбин, ряд. Панкратов, ряд. Махнач, ряд. Гончаров, ряд. Марков, ряд. Хомяков, ряд. Казанцев, ефр. Гусаков, ряд. Карибян)                                                                                                                                                 46 КЦ - 5 чел. (ряд. Гусев, ряд. Юдин, ряд. Кожаров, ряд. Таранцов, ряд. Соколов),                                                                   3 - к-н Лоренц, л-т Кармилицин, с-на Привольнев                                                                                                                                                                     </t>
        </is>
      </c>
      <c r="C9" s="69" t="n">
        <v>18</v>
      </c>
      <c r="D9" s="47" t="n"/>
      <c r="E9" s="47" t="n"/>
    </row>
    <row r="10" ht="26.25" customHeight="1" s="34" thickBot="1">
      <c r="A10" s="146">
        <f>+Лист2!B3</f>
        <v/>
      </c>
      <c r="B10" s="32" t="inlineStr">
        <is>
          <t>к-н Лоренц, л-т Кармилицин, ст. с-т Привольнев</t>
        </is>
      </c>
      <c r="C10" s="32" t="n">
        <v>3</v>
      </c>
      <c r="D10" s="146" t="n"/>
      <c r="E10" s="146" t="n"/>
    </row>
    <row r="11" ht="170.25" customHeight="1" s="34" thickBot="1">
      <c r="A11" s="89" t="inlineStr">
        <is>
          <t xml:space="preserve"> 1351 ЦО (РНКЧГР)</t>
        </is>
      </c>
      <c r="B11" s="62" t="inlineStr">
        <is>
          <t xml:space="preserve"> (ЦА - 8  ст .пр-к Батыргареев П.Х., ст. пр-к Прокопенко Г.В., пр-к Патенко С.И., пр-к Свешников А.А., пр-к Султанов В.Ф., пр-к Цымбулов В.Е., ст. с-т Гамзаев М.Ф., с-т  Ковальчук А.В.)(г. Донецк 2  - с-т Альшанов Д.В., с-т Васильев А.А.)(ЛНР 1 - ст. с-т Буданов Н.В.)Мелитополь 1- Хаников Р.Ш.)</t>
        </is>
      </c>
      <c r="C11" s="44" t="n">
        <v>12</v>
      </c>
      <c r="D11" s="62" t="inlineStr">
        <is>
          <t>(Ростовская область 2 - Грищук В.И., Фадейкин А.А.)</t>
        </is>
      </c>
      <c r="E11" s="71" t="n">
        <v>2</v>
      </c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  <c r="P11" s="70" t="n"/>
      <c r="Q11" s="70" t="n"/>
    </row>
    <row r="12" ht="15.75" customHeight="1" s="34" thickBot="1">
      <c r="A12" s="146" t="inlineStr">
        <is>
          <t>46 КЦ</t>
        </is>
      </c>
      <c r="B12" s="32" t="inlineStr">
        <is>
          <t>ст. с-т. Случко Е. Н.</t>
        </is>
      </c>
      <c r="C12" s="32" t="n">
        <v>1</v>
      </c>
      <c r="D12" s="146" t="inlineStr">
        <is>
          <t>ФГКУ "Тульский СЦ МЧС Росии"</t>
        </is>
      </c>
      <c r="E12" s="146" t="n"/>
    </row>
    <row r="13" ht="65.25" customHeight="1" s="34" thickBot="1">
      <c r="A13" s="51" t="inlineStr">
        <is>
          <t xml:space="preserve">334 УТЦ </t>
        </is>
      </c>
      <c r="B13" s="85" t="n"/>
      <c r="C13" s="86" t="n">
        <v>0</v>
      </c>
      <c r="D13" s="51" t="n"/>
      <c r="E13" s="51" t="n"/>
    </row>
    <row r="14" ht="45.75" customHeight="1" s="34" thickBot="1">
      <c r="A14" s="59" t="inlineStr">
        <is>
          <t>1234 МЦ</t>
        </is>
      </c>
      <c r="B14" s="60" t="n"/>
      <c r="C14" s="60" t="n">
        <v>0</v>
      </c>
      <c r="D14" s="59" t="n">
        <v>0</v>
      </c>
      <c r="E14" s="59" t="n">
        <v>0</v>
      </c>
    </row>
    <row r="15" ht="31.5" customHeight="1" s="34" thickBot="1">
      <c r="A15" s="83" t="inlineStr">
        <is>
          <t>955БРХТ</t>
        </is>
      </c>
      <c r="B15" s="84" t="n"/>
      <c r="C15" s="84" t="n">
        <v>0</v>
      </c>
      <c r="D15" s="84" t="n"/>
      <c r="E15" s="84" t="n">
        <v>0</v>
      </c>
    </row>
    <row r="16" ht="61.5" customHeight="1" s="34" thickBot="1">
      <c r="A16" s="146">
        <f>+Лист2!C95</f>
        <v/>
      </c>
      <c r="B16" s="31" t="inlineStr">
        <is>
          <t>с-т Кузьменкин Е.В., ст. с-т Шестаков Е.В. - ДНР, ЛНР
ряд. Силантьев, ряд. Гнрицюта</t>
        </is>
      </c>
      <c r="C16" s="32" t="n">
        <v>4</v>
      </c>
      <c r="D16" s="146" t="n"/>
      <c r="E16" s="146" t="n"/>
    </row>
    <row r="17" ht="15.75" customHeight="1" s="34" thickBot="1">
      <c r="A17" s="4" t="n"/>
      <c r="B17" s="3" t="n"/>
      <c r="C17" s="5">
        <f>SUM(C2:C16)</f>
        <v/>
      </c>
      <c r="D17" s="1" t="n"/>
      <c r="E17" s="5">
        <f>SUM(E2:E16)</f>
        <v/>
      </c>
    </row>
    <row r="18">
      <c r="A18">
        <f>+Лист2!C112</f>
        <v/>
      </c>
    </row>
  </sheetData>
  <mergeCells count="1">
    <mergeCell ref="B1:E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2020-08-28T12:19:38Z</dcterms:created>
  <dcterms:modified xmlns:dcterms="http://purl.org/dc/terms/" xmlns:xsi="http://www.w3.org/2001/XMLSchema-instance" xsi:type="dcterms:W3CDTF">2026-06-02T17:18:19Z</dcterms:modified>
  <cp:lastModifiedBy>RePack by Diakov</cp:lastModifiedBy>
  <cp:lastPrinted>2026-05-27T06:28:11Z</cp:lastPrinted>
</cp:coreProperties>
</file>